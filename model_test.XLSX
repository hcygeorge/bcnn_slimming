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Train" sheetId="1" r:id="rId1"/>
    <sheet name="Pruned" sheetId="2" r:id="rId2"/>
    <sheet name="Sof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9" i="2" l="1"/>
  <c r="N28" i="2"/>
  <c r="J28" i="2"/>
  <c r="M42" i="2"/>
  <c r="M54" i="2"/>
  <c r="M14" i="2"/>
  <c r="J14" i="2"/>
  <c r="J15" i="2"/>
  <c r="J13" i="2"/>
  <c r="G19" i="3"/>
  <c r="G18" i="3"/>
  <c r="K19" i="3"/>
  <c r="K18" i="3"/>
  <c r="K12" i="3"/>
  <c r="K11" i="3"/>
  <c r="G12" i="3"/>
  <c r="G11" i="3"/>
  <c r="G3" i="3"/>
  <c r="J19" i="3"/>
  <c r="J18" i="3"/>
  <c r="J12" i="3"/>
  <c r="J11" i="3"/>
  <c r="Q35" i="2"/>
  <c r="Q44" i="2"/>
  <c r="Q45" i="2"/>
  <c r="R45" i="2" s="1"/>
  <c r="Q46" i="2"/>
  <c r="Q43" i="2"/>
  <c r="Q5" i="2"/>
  <c r="Q34" i="2"/>
  <c r="Q33" i="2"/>
  <c r="Q32" i="2"/>
  <c r="Q20" i="2"/>
  <c r="Q21" i="2"/>
  <c r="Q22" i="2"/>
  <c r="Q19" i="2"/>
  <c r="R19" i="2" s="1"/>
  <c r="M35" i="2"/>
  <c r="M32" i="2"/>
  <c r="M33" i="2"/>
  <c r="M34" i="2"/>
  <c r="M31" i="2"/>
  <c r="J33" i="2"/>
  <c r="J34" i="2"/>
  <c r="J35" i="2"/>
  <c r="J32" i="2"/>
  <c r="I32" i="2"/>
  <c r="I33" i="2"/>
  <c r="I34" i="2"/>
  <c r="I35" i="2"/>
  <c r="I31" i="2"/>
  <c r="I22" i="2"/>
  <c r="J3" i="3"/>
  <c r="J4" i="3"/>
  <c r="J5" i="3"/>
  <c r="F17" i="3"/>
  <c r="N19" i="3"/>
  <c r="O19" i="3" s="1"/>
  <c r="F19" i="3"/>
  <c r="N18" i="3"/>
  <c r="O18" i="3" s="1"/>
  <c r="F18" i="3"/>
  <c r="J17" i="3"/>
  <c r="F13" i="3"/>
  <c r="N12" i="3"/>
  <c r="O12" i="3" s="1"/>
  <c r="F12" i="3"/>
  <c r="N11" i="3"/>
  <c r="O11" i="3" s="1"/>
  <c r="F11" i="3"/>
  <c r="J10" i="3"/>
  <c r="F10" i="3"/>
  <c r="N5" i="3"/>
  <c r="O5" i="3" s="1"/>
  <c r="G5" i="3"/>
  <c r="F5" i="3"/>
  <c r="N4" i="3"/>
  <c r="O4" i="3" s="1"/>
  <c r="G4" i="3"/>
  <c r="F4" i="3"/>
  <c r="N3" i="3"/>
  <c r="O3" i="3" s="1"/>
  <c r="F3" i="3"/>
  <c r="J2" i="3"/>
  <c r="F2" i="3"/>
  <c r="M24" i="2"/>
  <c r="M23" i="2"/>
  <c r="I48" i="2"/>
  <c r="I47" i="2"/>
  <c r="N33" i="2" l="1"/>
  <c r="N34" i="2"/>
  <c r="N35" i="2"/>
  <c r="N32" i="2"/>
  <c r="K4" i="3"/>
  <c r="K3" i="3"/>
  <c r="K5" i="3"/>
  <c r="R44" i="2"/>
  <c r="R46" i="2"/>
  <c r="R43" i="2"/>
  <c r="R20" i="2"/>
  <c r="R21" i="2"/>
  <c r="R22" i="2"/>
  <c r="Q14" i="2"/>
  <c r="R14" i="2" s="1"/>
  <c r="Q15" i="2"/>
  <c r="R15" i="2" s="1"/>
  <c r="Q13" i="2"/>
  <c r="R13" i="2" s="1"/>
  <c r="Q6" i="2"/>
  <c r="R6" i="2" s="1"/>
  <c r="J6" i="2"/>
  <c r="Q4" i="2"/>
  <c r="R4" i="2" s="1"/>
  <c r="R5" i="2"/>
  <c r="Q3" i="2"/>
  <c r="R3" i="2" s="1"/>
  <c r="M44" i="2"/>
  <c r="J29" i="2"/>
  <c r="J44" i="2"/>
  <c r="J45" i="2"/>
  <c r="J46" i="2"/>
  <c r="J47" i="2"/>
  <c r="J48" i="2"/>
  <c r="J49" i="2"/>
  <c r="J55" i="2"/>
  <c r="J56" i="2"/>
  <c r="J57" i="2"/>
  <c r="J43" i="2"/>
  <c r="M47" i="2"/>
  <c r="N47" i="2" s="1"/>
  <c r="M48" i="2"/>
  <c r="N48" i="2" s="1"/>
  <c r="M49" i="2"/>
  <c r="N49" i="2" s="1"/>
  <c r="M50" i="2"/>
  <c r="M51" i="2"/>
  <c r="M52" i="2"/>
  <c r="M53" i="2"/>
  <c r="M55" i="2"/>
  <c r="N55" i="2" s="1"/>
  <c r="M56" i="2"/>
  <c r="N56" i="2" s="1"/>
  <c r="M57" i="2"/>
  <c r="N57" i="2" s="1"/>
  <c r="M58" i="2"/>
  <c r="M59" i="2"/>
  <c r="M60" i="2"/>
  <c r="M3" i="2"/>
  <c r="M4" i="2"/>
  <c r="M5" i="2"/>
  <c r="M6" i="2"/>
  <c r="M7" i="2"/>
  <c r="M8" i="2"/>
  <c r="M9" i="2"/>
  <c r="M10" i="2"/>
  <c r="M11" i="2"/>
  <c r="M12" i="2"/>
  <c r="N14" i="2" s="1"/>
  <c r="M13" i="2"/>
  <c r="M15" i="2"/>
  <c r="M16" i="2"/>
  <c r="M17" i="2"/>
  <c r="M18" i="2"/>
  <c r="N24" i="2" s="1"/>
  <c r="M19" i="2"/>
  <c r="M20" i="2"/>
  <c r="M21" i="2"/>
  <c r="M22" i="2"/>
  <c r="M25" i="2"/>
  <c r="M27" i="2"/>
  <c r="M28" i="2"/>
  <c r="M29" i="2"/>
  <c r="M30" i="2"/>
  <c r="M41" i="2"/>
  <c r="M43" i="2"/>
  <c r="M45" i="2"/>
  <c r="M46" i="2"/>
  <c r="I20" i="2"/>
  <c r="I18" i="2"/>
  <c r="I3" i="2"/>
  <c r="M2" i="2"/>
  <c r="J3" i="2"/>
  <c r="J21" i="2"/>
  <c r="I21" i="2"/>
  <c r="I2" i="2"/>
  <c r="I4" i="2"/>
  <c r="I5" i="2"/>
  <c r="I6" i="2"/>
  <c r="I7" i="2"/>
  <c r="I8" i="2"/>
  <c r="I9" i="2"/>
  <c r="I10" i="2"/>
  <c r="I11" i="2"/>
  <c r="I12" i="2"/>
  <c r="I13" i="2"/>
  <c r="I14" i="2"/>
  <c r="I15" i="2"/>
  <c r="I19" i="2"/>
  <c r="I23" i="2"/>
  <c r="I24" i="2"/>
  <c r="I25" i="2"/>
  <c r="I27" i="2"/>
  <c r="I28" i="2"/>
  <c r="I29" i="2"/>
  <c r="I42" i="2"/>
  <c r="I43" i="2"/>
  <c r="I44" i="2"/>
  <c r="I45" i="2"/>
  <c r="I46" i="2"/>
  <c r="I49" i="2"/>
  <c r="I50" i="2"/>
  <c r="I51" i="2"/>
  <c r="I52" i="2"/>
  <c r="I53" i="2"/>
  <c r="I55" i="2"/>
  <c r="I56" i="2"/>
  <c r="I57" i="2"/>
  <c r="N3" i="2" l="1"/>
  <c r="N15" i="2"/>
  <c r="N13" i="2"/>
  <c r="N23" i="2"/>
  <c r="N43" i="2"/>
  <c r="N20" i="2"/>
  <c r="N25" i="2"/>
  <c r="N44" i="2"/>
  <c r="N45" i="2"/>
  <c r="N19" i="2"/>
  <c r="N46" i="2"/>
  <c r="N22" i="2"/>
  <c r="N21" i="2"/>
  <c r="N9" i="2"/>
  <c r="N6" i="2"/>
  <c r="N4" i="2"/>
  <c r="N7" i="2"/>
  <c r="N8" i="2"/>
  <c r="N5" i="2"/>
  <c r="J19" i="2" l="1"/>
  <c r="G8" i="2" l="1"/>
  <c r="G9" i="2"/>
  <c r="G7" i="2"/>
  <c r="G4" i="2"/>
  <c r="G5" i="2"/>
  <c r="G6" i="2"/>
  <c r="G3" i="2"/>
  <c r="G48" i="2"/>
  <c r="G49" i="2"/>
  <c r="G47" i="2"/>
  <c r="G24" i="2"/>
  <c r="G25" i="2"/>
  <c r="G23" i="2"/>
  <c r="G20" i="2"/>
  <c r="G21" i="2"/>
  <c r="G22" i="2"/>
  <c r="G19" i="2"/>
  <c r="J20" i="2"/>
  <c r="J22" i="2"/>
  <c r="J23" i="2"/>
  <c r="J24" i="2"/>
  <c r="J25" i="2"/>
  <c r="J5" i="2"/>
  <c r="J4" i="2"/>
  <c r="J7" i="2"/>
  <c r="J8" i="2"/>
  <c r="J9" i="2"/>
</calcChain>
</file>

<file path=xl/sharedStrings.xml><?xml version="1.0" encoding="utf-8"?>
<sst xmlns="http://schemas.openxmlformats.org/spreadsheetml/2006/main" count="210" uniqueCount="143">
  <si>
    <t>模型骨架</t>
    <phoneticPr fontId="1" type="noConversion"/>
  </si>
  <si>
    <t>雙線性池化</t>
    <phoneticPr fontId="1" type="noConversion"/>
  </si>
  <si>
    <t>VGG16</t>
  </si>
  <si>
    <t>VGG16</t>
    <phoneticPr fontId="1" type="noConversion"/>
  </si>
  <si>
    <t>說明</t>
    <phoneticPr fontId="1" type="noConversion"/>
  </si>
  <si>
    <t>預訓練模型</t>
    <phoneticPr fontId="1" type="noConversion"/>
  </si>
  <si>
    <t>ID</t>
    <phoneticPr fontId="1" type="noConversion"/>
  </si>
  <si>
    <t>檔案類型</t>
    <phoneticPr fontId="1" type="noConversion"/>
  </si>
  <si>
    <t>model</t>
    <phoneticPr fontId="1" type="noConversion"/>
  </si>
  <si>
    <t>checkpoint</t>
    <phoneticPr fontId="1" type="noConversion"/>
  </si>
  <si>
    <t>陽春模型</t>
    <phoneticPr fontId="1" type="noConversion"/>
  </si>
  <si>
    <t>trial01</t>
    <phoneticPr fontId="1" type="noConversion"/>
  </si>
  <si>
    <t>trial03</t>
    <phoneticPr fontId="1" type="noConversion"/>
  </si>
  <si>
    <t>trial04</t>
  </si>
  <si>
    <t>trial05</t>
  </si>
  <si>
    <t>trial06</t>
  </si>
  <si>
    <t>trial07</t>
  </si>
  <si>
    <t>trial08</t>
  </si>
  <si>
    <t>重要設定</t>
    <phoneticPr fontId="1" type="noConversion"/>
  </si>
  <si>
    <t>Standford Car</t>
    <phoneticPr fontId="1" type="noConversion"/>
  </si>
  <si>
    <t>batchnorm</t>
    <phoneticPr fontId="1" type="noConversion"/>
  </si>
  <si>
    <t>224*224</t>
    <phoneticPr fontId="1" type="noConversion"/>
  </si>
  <si>
    <t>l1norm 1e-3</t>
    <phoneticPr fontId="1" type="noConversion"/>
  </si>
  <si>
    <t>batch48</t>
    <phoneticPr fontId="1" type="noConversion"/>
  </si>
  <si>
    <t>Aircraft</t>
    <phoneticPr fontId="1" type="noConversion"/>
  </si>
  <si>
    <t>lr should be smaller than BCNN</t>
    <phoneticPr fontId="1" type="noConversion"/>
  </si>
  <si>
    <t xml:space="preserve">l1norm 1e-4  batch48 </t>
    <phoneticPr fontId="1" type="noConversion"/>
  </si>
  <si>
    <t>Slimming</t>
    <phoneticPr fontId="1" type="noConversion"/>
  </si>
  <si>
    <t>研究重現</t>
    <phoneticPr fontId="1" type="noConversion"/>
  </si>
  <si>
    <t>附註</t>
    <phoneticPr fontId="1" type="noConversion"/>
  </si>
  <si>
    <t>Aircraft 67.7% using train data only</t>
    <phoneticPr fontId="1" type="noConversion"/>
  </si>
  <si>
    <t>CUB200</t>
    <phoneticPr fontId="1" type="noConversion"/>
  </si>
  <si>
    <t>224*224</t>
    <phoneticPr fontId="1" type="noConversion"/>
  </si>
  <si>
    <t>BCNN(200, bn=False)</t>
    <phoneticPr fontId="1" type="noConversion"/>
  </si>
  <si>
    <t>BCNN(200, bn=True)</t>
    <phoneticPr fontId="1" type="noConversion"/>
  </si>
  <si>
    <t>VGG16</t>
    <phoneticPr fontId="1" type="noConversion"/>
  </si>
  <si>
    <t>剪枝率</t>
    <phoneticPr fontId="1" type="noConversion"/>
  </si>
  <si>
    <t>資料集</t>
    <phoneticPr fontId="1" type="noConversion"/>
  </si>
  <si>
    <t>trial07b20</t>
  </si>
  <si>
    <t>trial07b40</t>
  </si>
  <si>
    <t>trial07b60</t>
  </si>
  <si>
    <t>trial07b80</t>
  </si>
  <si>
    <t>Cars</t>
    <phoneticPr fontId="1" type="noConversion"/>
  </si>
  <si>
    <t>Birds</t>
    <phoneticPr fontId="1" type="noConversion"/>
  </si>
  <si>
    <t>Aircrafts</t>
    <phoneticPr fontId="1" type="noConversion"/>
  </si>
  <si>
    <t>original</t>
    <phoneticPr fontId="1" type="noConversion"/>
  </si>
  <si>
    <t>-</t>
    <phoneticPr fontId="1" type="noConversion"/>
  </si>
  <si>
    <t>-</t>
    <phoneticPr fontId="1" type="noConversion"/>
  </si>
  <si>
    <t>degrade</t>
    <phoneticPr fontId="1" type="noConversion"/>
  </si>
  <si>
    <t>iter_pruning</t>
    <phoneticPr fontId="1" type="noConversion"/>
  </si>
  <si>
    <t>para size(MB)</t>
    <phoneticPr fontId="1" type="noConversion"/>
  </si>
  <si>
    <t>pruning rate</t>
    <phoneticPr fontId="1" type="noConversion"/>
  </si>
  <si>
    <t>trial07b</t>
    <phoneticPr fontId="1" type="noConversion"/>
  </si>
  <si>
    <t>trial07a</t>
    <phoneticPr fontId="1" type="noConversion"/>
  </si>
  <si>
    <t>trial07biter_pruned50</t>
  </si>
  <si>
    <t>trial07c</t>
    <phoneticPr fontId="1" type="noConversion"/>
  </si>
  <si>
    <t>last sparsity 1e-03</t>
    <phoneticPr fontId="1" type="noConversion"/>
  </si>
  <si>
    <t>Cars neeed lr 1e-1</t>
    <phoneticPr fontId="1" type="noConversion"/>
  </si>
  <si>
    <t>last sparsity 5e-04</t>
    <phoneticPr fontId="1" type="noConversion"/>
  </si>
  <si>
    <t>setting</t>
    <phoneticPr fontId="1" type="noConversion"/>
  </si>
  <si>
    <t>last sparsity 1e-03</t>
  </si>
  <si>
    <t>trial07a4_pruned60</t>
    <phoneticPr fontId="1" type="noConversion"/>
  </si>
  <si>
    <t>trial07a4</t>
    <phoneticPr fontId="1" type="noConversion"/>
  </si>
  <si>
    <t>trial07b3</t>
    <phoneticPr fontId="1" type="noConversion"/>
  </si>
  <si>
    <t>trial07b3_pruned22</t>
    <phoneticPr fontId="1" type="noConversion"/>
  </si>
  <si>
    <t>d</t>
    <phoneticPr fontId="1" type="noConversion"/>
  </si>
  <si>
    <t>one shot pruning</t>
    <phoneticPr fontId="1" type="noConversion"/>
  </si>
  <si>
    <t>[12, 40, 'M', 68, 105, 'M', 142, 168, 214, 'M', 321, 220, 371, 'M', 242, 340, 80, 'M']</t>
    <phoneticPr fontId="1" type="noConversion"/>
  </si>
  <si>
    <t>Total params(M)</t>
  </si>
  <si>
    <t>Total params</t>
    <phoneticPr fontId="1" type="noConversion"/>
  </si>
  <si>
    <t>GMACs</t>
    <phoneticPr fontId="1" type="noConversion"/>
  </si>
  <si>
    <t>FLOPs</t>
    <phoneticPr fontId="1" type="noConversion"/>
  </si>
  <si>
    <t>FLOPs pruned</t>
    <phoneticPr fontId="1" type="noConversion"/>
  </si>
  <si>
    <t>[23, 58, 'M', 93, 120, 'M', 211, 224, 249, 'M', 474, 463, 431, 'M', 375, 280, 378, 'M']</t>
  </si>
  <si>
    <t>trial07a4_pruned40</t>
  </si>
  <si>
    <t>trial07a4_pruned20</t>
    <phoneticPr fontId="1" type="noConversion"/>
  </si>
  <si>
    <t>[20, 47, 'M', 79, 106, 'M', 145, 171, 220, 'M', 371, 355, 342, 'M', 267, 198, 213, 'M']</t>
  </si>
  <si>
    <t>[17, 39, 'M', 61, 87, 'M', 93, 103, 180, 'M', 215, 237, 220, 'M', 180, 148, 109, 'M']</t>
  </si>
  <si>
    <t>trial07biter_pruned25</t>
  </si>
  <si>
    <t>trial07biter_pruned33</t>
    <phoneticPr fontId="1" type="noConversion"/>
  </si>
  <si>
    <t>[23, 58, 'M', 90, 119, 'M', 178, 217, 251, 'M', 432, 442, 461, 'M', 373, 280, 455, 'M']</t>
  </si>
  <si>
    <t>[21, 51, 'M', 66, 109, 'M', 107, 125, 231, 'M', 293, 309, 362, 'M', 296, 221, 343, 'M']</t>
  </si>
  <si>
    <t>[21, 40, 'M', 44, 96, 'M', 51, 72, 190, 'M', 161, 155, 222, 'M', 226, 155, 256, 'M']</t>
  </si>
  <si>
    <t>trial07a4_pruned60</t>
  </si>
  <si>
    <t>trial07a4_pruned40</t>
    <phoneticPr fontId="1" type="noConversion"/>
  </si>
  <si>
    <t>trial07aiter_pruned25</t>
    <phoneticPr fontId="1" type="noConversion"/>
  </si>
  <si>
    <t>trial07aiter_pruned33</t>
    <phoneticPr fontId="1" type="noConversion"/>
  </si>
  <si>
    <t>trial07aiter_pruned50</t>
    <phoneticPr fontId="1" type="noConversion"/>
  </si>
  <si>
    <t>trial07c_pruned20</t>
    <phoneticPr fontId="1" type="noConversion"/>
  </si>
  <si>
    <t>trial07c_pruned40</t>
    <phoneticPr fontId="1" type="noConversion"/>
  </si>
  <si>
    <t>trial07c_pruned60</t>
    <phoneticPr fontId="1" type="noConversion"/>
  </si>
  <si>
    <t>trial07c_pruned80</t>
    <phoneticPr fontId="1" type="noConversion"/>
  </si>
  <si>
    <t>[29, 50, 'M', 93, 117, 'M', 200, 211, 229, 'M', 378, 410, 419, 'M', 414, 412, 417, 'M']</t>
  </si>
  <si>
    <t>[13, 41, 'M', 69, 104, 'M', 139, 171, 208, 'M', 290, 195, 368, 'M', 240, 344, 352, 'M']</t>
  </si>
  <si>
    <t>[12, 34, 'M', 35, 67, 'M', 46, 67, 152, 'M', 210, 96, 331, 'M', 185, 281, 173, 'M']</t>
  </si>
  <si>
    <t>[9, 23, 'M', 15, 27, 'M', 14, 16, 64, 'M', 101, 20, 209, 'M', 88, 201, 57, 'M']</t>
  </si>
  <si>
    <t>trial07citer_pruned25</t>
  </si>
  <si>
    <t>trial07citer_pruned33</t>
    <phoneticPr fontId="1" type="noConversion"/>
  </si>
  <si>
    <t>trial07citer_pruned50</t>
    <phoneticPr fontId="1" type="noConversion"/>
  </si>
  <si>
    <t>trial07c8_pruned45</t>
    <phoneticPr fontId="1" type="noConversion"/>
  </si>
  <si>
    <t>trial07c8_pruned20</t>
  </si>
  <si>
    <t>trial07c8_pruned40</t>
    <phoneticPr fontId="1" type="noConversion"/>
  </si>
  <si>
    <t>[25, 51, 'M', 94, 117, 'M', 201, 218, 234, 'M', 382, 393, 412, 'M', 384, 404, 464, 'M']</t>
  </si>
  <si>
    <t>[12, 43, 'M', 77, 107, 'M', 163, 189, 217, 'M', 333, 236, 378, 'M', 250, 353, 176, 'M']</t>
  </si>
  <si>
    <t>cfg</t>
    <phoneticPr fontId="1" type="noConversion"/>
  </si>
  <si>
    <t>output</t>
    <phoneticPr fontId="1" type="noConversion"/>
  </si>
  <si>
    <t>outptut ratio</t>
    <phoneticPr fontId="1" type="noConversion"/>
  </si>
  <si>
    <t>[23, 55, 'M', 90, 117, 'M', 194, 207, 245, 'M', 451, 437, 417, 'M', 340, 293, 510, 'M']</t>
  </si>
  <si>
    <t>[19, 44, 'M', 65, 98, 'M', 116, 136, 204, 'M', 307, 310, 297, 'M', 232, 196, 510, 'M']</t>
  </si>
  <si>
    <t>[17, 30, 'M', 52, 70, 'M', 58, 69, 136, 'M', 147, 154, 166, 'M', 138, 142, 510, 'M']</t>
  </si>
  <si>
    <t>[15, 14, 'M', 32, 22, 'M', 16, 6, 37, 'M', 18, 25, 33, 'M', 48, 68, 510, 'M']</t>
  </si>
  <si>
    <t>last convolution outputchannel</t>
    <phoneticPr fontId="1" type="noConversion"/>
  </si>
  <si>
    <t>[13, 41, 'M', 66, 101, 'M', 140, 170, 207, 'M', 289, 187, 368, 'M', 241, 351, 360, 'M']</t>
    <phoneticPr fontId="1" type="noConversion"/>
  </si>
  <si>
    <t>[12, 36, 'M', 36, 65, 'M', 34, 51, 159, 'M', 218, 15, 357, 'M', 121, 304, 289, 'M']</t>
  </si>
  <si>
    <t>[11, 10, 'M', 9, 10, 'M', 20, 32, 42, 'M', 70, 14, 185, 'M', 104, 204, 137, 'M']</t>
  </si>
  <si>
    <t>[20, 49, 'M', 75, 103, 'M', 136, 168, 204, 'M', 309, 326, 298, 'M', 191, 145, 510, 'M']</t>
  </si>
  <si>
    <t>[17, 36, 'M', 46, 63, 'M', 88, 82, 135, 'M', 158, 180, 178, 'M', 119, 86, 509, 'M']</t>
  </si>
  <si>
    <t>[14, 22, 'M', 21, 22, 'M', 20, 23, 21, 'M', 44, 36, 43, 'M', 65, 46, 471, 'M']</t>
  </si>
  <si>
    <t>[20, 47, 'M', 77, 105, 'M', 143, 149, 199, 'M', 290, 294, 286, 'M', 226, 188, 510]</t>
  </si>
  <si>
    <t>[25, 57, 'M', 94, 120, 'M', 212, 232, 243, 'M', 441, 432, 401, 'M', 337, 275, 510]</t>
    <phoneticPr fontId="1" type="noConversion"/>
  </si>
  <si>
    <t>[20, 43, 'M', 75, 70, 'M', 60, 59, 129, 'M', 142, 148, 146, 'M', 133, 154, 510]</t>
  </si>
  <si>
    <t>[27, 57, 'M', 92, 115, 'M', 204, 216, 231, 'M', 389, 360, 437, 'M', 361, 417, 473]</t>
  </si>
  <si>
    <t>[13, 41, 'M', 69, 104, 'M', 138, 170, 208, 'M', 290, 195, 368, 'M', 240, 344, 354]</t>
  </si>
  <si>
    <t>trial07b5</t>
    <phoneticPr fontId="1" type="noConversion"/>
  </si>
  <si>
    <t>trial07b5_pruned40</t>
  </si>
  <si>
    <t>trial07b5_pruned20</t>
    <phoneticPr fontId="1" type="noConversion"/>
  </si>
  <si>
    <t>trial07b5_pruned60</t>
    <phoneticPr fontId="1" type="noConversion"/>
  </si>
  <si>
    <t>trial07b5_pruned80</t>
    <phoneticPr fontId="1" type="noConversion"/>
  </si>
  <si>
    <t>trial07cs</t>
    <phoneticPr fontId="1" type="noConversion"/>
  </si>
  <si>
    <t>trial07cs_pruned20</t>
    <phoneticPr fontId="1" type="noConversion"/>
  </si>
  <si>
    <t>trial07cs_pruned40</t>
    <phoneticPr fontId="1" type="noConversion"/>
  </si>
  <si>
    <t>trial07cs_pruned60</t>
    <phoneticPr fontId="1" type="noConversion"/>
  </si>
  <si>
    <t>-</t>
    <phoneticPr fontId="1" type="noConversion"/>
  </si>
  <si>
    <t>[23, 58, 'M', 89, 118, 'M', 179, 214, 250, 'M', 434, 443, 457, 'M', 372, 281, 461]</t>
  </si>
  <si>
    <t>[21, 51, 'M', 61, 109, 'M', 98, 115, 230, 'M', 276, 303, 357, 'M', 297, 215, 401]</t>
  </si>
  <si>
    <t>-</t>
    <phoneticPr fontId="1" type="noConversion"/>
  </si>
  <si>
    <t>trial07a_pruned20</t>
    <phoneticPr fontId="1" type="noConversion"/>
  </si>
  <si>
    <t>trial07a_pruned40</t>
    <phoneticPr fontId="1" type="noConversion"/>
  </si>
  <si>
    <t>trial07a_pruned60</t>
    <phoneticPr fontId="1" type="noConversion"/>
  </si>
  <si>
    <t>trial07a_pruned80</t>
    <phoneticPr fontId="1" type="noConversion"/>
  </si>
  <si>
    <t>[19, 30, 'M', 30, 60, 'M', 18, 21, 105, 'M', 55, 59, 82, 'M', 129, 80, 156, 'M']</t>
    <phoneticPr fontId="1" type="noConversion"/>
  </si>
  <si>
    <t>trial07b3_pruned20</t>
    <phoneticPr fontId="1" type="noConversion"/>
  </si>
  <si>
    <t>[28, 60, 'M', 104, 123, 'M', 234, 252, 255, 'M', 495, 446, 489, 'M', 359, 377, 157, 'M']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</si>
</sst>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);[Red]\(0.00\)"/>
    <numFmt numFmtId="177" formatCode="0_);[Red]\(0\)"/>
  </numFmts>
  <fonts count="7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2"/>
      <color rgb="FF9C0006"/>
      <name val="新細明體"/>
      <family val="2"/>
      <charset val="136"/>
      <scheme val="minor"/>
    </font>
    <font>
      <sz val="11"/>
      <color rgb="FF006100"/>
      <name val="新細明體"/>
      <family val="1"/>
      <charset val="136"/>
      <scheme val="minor"/>
    </font>
    <font>
      <sz val="12"/>
      <color rgb="FF9C6500"/>
      <name val="新細明體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</cellStyleXfs>
  <cellXfs count="27">
    <xf numFmtId="0" fontId="0" fillId="0" borderId="0" xfId="0"/>
    <xf numFmtId="10" fontId="0" fillId="0" borderId="0" xfId="0" applyNumberFormat="1"/>
    <xf numFmtId="9" fontId="0" fillId="0" borderId="0" xfId="0" applyNumberFormat="1"/>
    <xf numFmtId="176" fontId="0" fillId="0" borderId="0" xfId="0" applyNumberFormat="1"/>
    <xf numFmtId="0" fontId="2" fillId="2" borderId="0" xfId="1" applyAlignment="1"/>
    <xf numFmtId="9" fontId="2" fillId="2" borderId="0" xfId="1" applyNumberFormat="1" applyAlignment="1"/>
    <xf numFmtId="10" fontId="2" fillId="2" borderId="0" xfId="1" applyNumberFormat="1" applyAlignment="1"/>
    <xf numFmtId="176" fontId="2" fillId="2" borderId="0" xfId="1" applyNumberFormat="1" applyAlignment="1"/>
    <xf numFmtId="10" fontId="4" fillId="3" borderId="0" xfId="3" applyNumberFormat="1" applyAlignment="1"/>
    <xf numFmtId="10" fontId="0" fillId="0" borderId="0" xfId="2" applyNumberFormat="1" applyFont="1" applyAlignment="1"/>
    <xf numFmtId="10" fontId="2" fillId="2" borderId="0" xfId="2" applyNumberFormat="1" applyFont="1" applyFill="1" applyAlignment="1"/>
    <xf numFmtId="11" fontId="0" fillId="0" borderId="0" xfId="0" applyNumberFormat="1"/>
    <xf numFmtId="176" fontId="0" fillId="4" borderId="1" xfId="4" applyNumberFormat="1" applyFont="1" applyAlignment="1"/>
    <xf numFmtId="176" fontId="2" fillId="2" borderId="1" xfId="1" applyNumberFormat="1" applyBorder="1" applyAlignment="1"/>
    <xf numFmtId="177" fontId="3" fillId="0" borderId="0" xfId="2" applyNumberFormat="1" applyFont="1" applyAlignment="1"/>
    <xf numFmtId="177" fontId="5" fillId="2" borderId="0" xfId="1" applyNumberFormat="1" applyFont="1" applyAlignment="1"/>
    <xf numFmtId="177" fontId="5" fillId="2" borderId="0" xfId="2" applyNumberFormat="1" applyFont="1" applyFill="1" applyAlignment="1"/>
    <xf numFmtId="10" fontId="6" fillId="5" borderId="0" xfId="5" applyNumberFormat="1" applyAlignment="1"/>
    <xf numFmtId="0" fontId="6" fillId="5" borderId="0" xfId="5" applyAlignment="1"/>
    <xf numFmtId="9" fontId="6" fillId="5" borderId="0" xfId="5" applyNumberFormat="1" applyAlignment="1"/>
    <xf numFmtId="177" fontId="6" fillId="5" borderId="0" xfId="5" applyNumberFormat="1" applyAlignment="1"/>
    <xf numFmtId="176" fontId="6" fillId="5" borderId="0" xfId="5" applyNumberFormat="1" applyAlignment="1"/>
    <xf numFmtId="176" fontId="6" fillId="5" borderId="1" xfId="5" applyNumberFormat="1" applyBorder="1" applyAlignment="1"/>
    <xf numFmtId="177" fontId="3" fillId="0" borderId="0" xfId="2" applyNumberFormat="1" applyFont="1" applyFill="1" applyAlignment="1"/>
    <xf numFmtId="177" fontId="2" fillId="2" borderId="0" xfId="1" applyNumberFormat="1" applyAlignment="1"/>
    <xf numFmtId="176" fontId="3" fillId="0" borderId="0" xfId="2" applyNumberFormat="1" applyFont="1" applyAlignment="1"/>
    <xf numFmtId="177" fontId="0" fillId="0" borderId="0" xfId="0" applyNumberFormat="1"/>
  </cellXfs>
  <cellStyles count="6">
    <cellStyle name="一般" xfId="0" builtinId="0"/>
    <cellStyle name="中等" xfId="5" builtinId="28"/>
    <cellStyle name="好" xfId="1" builtinId="26"/>
    <cellStyle name="百分比" xfId="2" builtinId="5"/>
    <cellStyle name="備註" xfId="4" builtinId="10"/>
    <cellStyle name="壞" xfId="3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workbookViewId="0">
      <selection activeCell="F15" sqref="F15"/>
    </sheetView>
  </sheetViews>
  <sheetFormatPr defaultRowHeight="15.75" x14ac:dyDescent="0.25"/>
  <cols>
    <col min="1" max="1" width="19.85546875" customWidth="1"/>
    <col min="2" max="2" width="21.28515625" customWidth="1"/>
    <col min="3" max="3" width="16.5703125" customWidth="1"/>
    <col min="4" max="6" width="21.28515625" customWidth="1"/>
    <col min="7" max="8" width="16.140625" customWidth="1"/>
    <col min="9" max="9" width="25.7109375" customWidth="1"/>
    <col min="10" max="10" width="13.28515625" customWidth="1"/>
    <col min="11" max="11" width="30.42578125" customWidth="1"/>
    <col min="12" max="12" width="33.140625" customWidth="1"/>
  </cols>
  <sheetData>
    <row r="1" spans="1:12" x14ac:dyDescent="0.25">
      <c r="A1" t="s">
        <v>6</v>
      </c>
      <c r="B1" t="s">
        <v>0</v>
      </c>
      <c r="C1" t="s">
        <v>5</v>
      </c>
      <c r="D1" t="s">
        <v>1</v>
      </c>
      <c r="E1" t="s">
        <v>20</v>
      </c>
      <c r="F1" t="s">
        <v>31</v>
      </c>
      <c r="G1" t="s">
        <v>19</v>
      </c>
      <c r="H1" t="s">
        <v>24</v>
      </c>
      <c r="I1" t="s">
        <v>4</v>
      </c>
      <c r="J1" t="s">
        <v>7</v>
      </c>
      <c r="K1" t="s">
        <v>18</v>
      </c>
      <c r="L1" t="s">
        <v>29</v>
      </c>
    </row>
    <row r="2" spans="1:12" x14ac:dyDescent="0.25">
      <c r="A2" t="s">
        <v>11</v>
      </c>
      <c r="B2" t="s">
        <v>33</v>
      </c>
      <c r="C2">
        <v>1</v>
      </c>
      <c r="D2">
        <v>1</v>
      </c>
      <c r="E2">
        <v>0</v>
      </c>
      <c r="F2" s="1">
        <v>0.71850000000000003</v>
      </c>
      <c r="G2" s="1">
        <v>0.85609999999999997</v>
      </c>
      <c r="H2" s="1">
        <v>0.81299999999999994</v>
      </c>
      <c r="I2" t="s">
        <v>28</v>
      </c>
      <c r="J2" t="s">
        <v>9</v>
      </c>
      <c r="K2" t="s">
        <v>32</v>
      </c>
      <c r="L2" s="1" t="s">
        <v>30</v>
      </c>
    </row>
    <row r="3" spans="1:12" x14ac:dyDescent="0.25">
      <c r="A3" t="s">
        <v>12</v>
      </c>
      <c r="B3" t="s">
        <v>3</v>
      </c>
      <c r="C3">
        <v>0</v>
      </c>
      <c r="D3">
        <v>0</v>
      </c>
      <c r="E3">
        <v>0</v>
      </c>
      <c r="F3" s="1">
        <v>0.19109999999999999</v>
      </c>
      <c r="G3" s="1">
        <v>0.14330000000000001</v>
      </c>
      <c r="H3" s="1">
        <v>0.66369999999999996</v>
      </c>
      <c r="J3" t="s">
        <v>8</v>
      </c>
      <c r="L3" t="s">
        <v>65</v>
      </c>
    </row>
    <row r="4" spans="1:12" ht="16.5" x14ac:dyDescent="0.25">
      <c r="A4" t="s">
        <v>13</v>
      </c>
      <c r="B4" t="s">
        <v>35</v>
      </c>
      <c r="C4">
        <v>1</v>
      </c>
      <c r="D4">
        <v>0</v>
      </c>
      <c r="E4">
        <v>0</v>
      </c>
      <c r="F4" s="1">
        <v>0.58840000000000003</v>
      </c>
      <c r="G4" s="1">
        <v>0.69279999999999997</v>
      </c>
      <c r="H4" s="8">
        <v>0.80900000000000005</v>
      </c>
      <c r="I4" t="s">
        <v>10</v>
      </c>
      <c r="J4" t="s">
        <v>9</v>
      </c>
      <c r="K4" t="s">
        <v>25</v>
      </c>
    </row>
    <row r="5" spans="1:12" x14ac:dyDescent="0.25">
      <c r="A5" t="s">
        <v>14</v>
      </c>
      <c r="B5" t="s">
        <v>2</v>
      </c>
      <c r="C5">
        <v>1</v>
      </c>
      <c r="D5">
        <v>0</v>
      </c>
      <c r="E5">
        <v>0</v>
      </c>
      <c r="F5" s="1">
        <v>0.55279999999999996</v>
      </c>
      <c r="J5" t="s">
        <v>9</v>
      </c>
      <c r="K5" t="s">
        <v>21</v>
      </c>
    </row>
    <row r="6" spans="1:12" x14ac:dyDescent="0.25">
      <c r="A6" t="s">
        <v>15</v>
      </c>
      <c r="B6" t="s">
        <v>2</v>
      </c>
      <c r="C6">
        <v>1</v>
      </c>
      <c r="D6">
        <v>1</v>
      </c>
      <c r="E6">
        <v>1</v>
      </c>
    </row>
    <row r="7" spans="1:12" x14ac:dyDescent="0.25">
      <c r="A7" t="s">
        <v>16</v>
      </c>
      <c r="B7" t="s">
        <v>34</v>
      </c>
      <c r="C7">
        <v>1</v>
      </c>
      <c r="D7">
        <v>1</v>
      </c>
      <c r="E7">
        <v>1</v>
      </c>
      <c r="F7" s="1">
        <v>0.73499999999999999</v>
      </c>
      <c r="G7" s="1">
        <v>0.874145006839945</v>
      </c>
      <c r="H7" s="1">
        <v>0.84489999999999998</v>
      </c>
      <c r="I7" t="s">
        <v>27</v>
      </c>
      <c r="K7" t="s">
        <v>26</v>
      </c>
      <c r="L7" t="s">
        <v>57</v>
      </c>
    </row>
    <row r="8" spans="1:12" hidden="1" x14ac:dyDescent="0.25">
      <c r="A8" t="s">
        <v>17</v>
      </c>
      <c r="B8" t="s">
        <v>2</v>
      </c>
      <c r="C8">
        <v>1</v>
      </c>
      <c r="D8">
        <v>1</v>
      </c>
      <c r="E8">
        <v>1</v>
      </c>
      <c r="F8">
        <v>63.96</v>
      </c>
      <c r="I8" t="s">
        <v>23</v>
      </c>
      <c r="K8" t="s">
        <v>22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0"/>
  <sheetViews>
    <sheetView tabSelected="1" zoomScale="85" zoomScaleNormal="85" workbookViewId="0">
      <selection activeCell="AE17" sqref="AE17"/>
    </sheetView>
  </sheetViews>
  <sheetFormatPr defaultRowHeight="15.75" x14ac:dyDescent="0.25"/>
  <cols>
    <col min="1" max="1" width="27.28515625" customWidth="1"/>
    <col min="2" max="2" width="10.140625" customWidth="1"/>
    <col min="3" max="3" width="7.7109375" style="2" customWidth="1"/>
    <col min="4" max="4" width="10.28515625" customWidth="1"/>
    <col min="5" max="5" width="14.7109375" style="9" customWidth="1"/>
    <col min="6" max="6" width="13.42578125" style="1" customWidth="1"/>
    <col min="7" max="7" width="8.28515625" hidden="1" customWidth="1"/>
    <col min="8" max="8" width="14.5703125" style="14" customWidth="1"/>
    <col min="9" max="9" width="14.5703125" style="3" customWidth="1"/>
    <col min="10" max="10" width="11.7109375" style="1" customWidth="1"/>
    <col min="11" max="11" width="15.140625" style="3" hidden="1" customWidth="1"/>
    <col min="12" max="12" width="15.140625" style="12" customWidth="1"/>
    <col min="13" max="13" width="13.7109375" customWidth="1"/>
    <col min="14" max="14" width="13.7109375" style="1" customWidth="1"/>
    <col min="15" max="15" width="22.140625" hidden="1" customWidth="1"/>
    <col min="16" max="16" width="11.85546875" customWidth="1"/>
    <col min="17" max="17" width="13.28515625" customWidth="1"/>
    <col min="18" max="18" width="10.7109375" customWidth="1"/>
    <col min="19" max="19" width="23.28515625" customWidth="1"/>
  </cols>
  <sheetData>
    <row r="1" spans="1:19" x14ac:dyDescent="0.25">
      <c r="A1" t="s">
        <v>6</v>
      </c>
      <c r="B1" t="s">
        <v>37</v>
      </c>
      <c r="C1" s="2" t="s">
        <v>36</v>
      </c>
      <c r="D1" t="s">
        <v>45</v>
      </c>
      <c r="E1" s="9" t="s">
        <v>66</v>
      </c>
      <c r="F1" s="1" t="s">
        <v>49</v>
      </c>
      <c r="G1" s="2" t="s">
        <v>48</v>
      </c>
      <c r="H1" s="14" t="s">
        <v>69</v>
      </c>
      <c r="I1" s="3" t="s">
        <v>68</v>
      </c>
      <c r="J1" s="1" t="s">
        <v>51</v>
      </c>
      <c r="K1" s="3" t="s">
        <v>50</v>
      </c>
      <c r="L1" s="12" t="s">
        <v>70</v>
      </c>
      <c r="M1" t="s">
        <v>71</v>
      </c>
      <c r="N1" s="1" t="s">
        <v>72</v>
      </c>
      <c r="O1" t="s">
        <v>59</v>
      </c>
      <c r="P1" t="s">
        <v>111</v>
      </c>
      <c r="Q1" t="s">
        <v>105</v>
      </c>
      <c r="R1" t="s">
        <v>106</v>
      </c>
      <c r="S1" t="s">
        <v>104</v>
      </c>
    </row>
    <row r="2" spans="1:19" x14ac:dyDescent="0.25">
      <c r="A2" t="s">
        <v>53</v>
      </c>
      <c r="B2" t="s">
        <v>44</v>
      </c>
      <c r="C2" s="2">
        <v>0</v>
      </c>
      <c r="D2" s="1">
        <v>0.84489999999999998</v>
      </c>
      <c r="H2" s="14">
        <v>40937636</v>
      </c>
      <c r="I2" s="3">
        <f t="shared" ref="I2:I15" si="0">H2/1000000</f>
        <v>40.937635999999998</v>
      </c>
      <c r="K2" s="3">
        <v>156.16</v>
      </c>
      <c r="L2" s="12">
        <v>15.43</v>
      </c>
      <c r="M2">
        <f>L2*2</f>
        <v>30.86</v>
      </c>
    </row>
    <row r="3" spans="1:19" x14ac:dyDescent="0.25">
      <c r="A3" t="s">
        <v>136</v>
      </c>
      <c r="B3" t="s">
        <v>44</v>
      </c>
      <c r="C3" s="2">
        <v>0.2</v>
      </c>
      <c r="D3" s="1"/>
      <c r="E3" s="9">
        <v>0.85509999999999997</v>
      </c>
      <c r="G3" s="1">
        <f>-$D$2 +E3</f>
        <v>1.0199999999999987E-2</v>
      </c>
      <c r="H3" s="14">
        <v>35119471</v>
      </c>
      <c r="I3" s="3">
        <f t="shared" si="0"/>
        <v>35.119470999999997</v>
      </c>
      <c r="J3" s="1">
        <f t="shared" ref="J3:J9" si="1">1-(H3/$H$2)</f>
        <v>0.14212264235287064</v>
      </c>
      <c r="K3" s="3">
        <v>133.97</v>
      </c>
      <c r="L3" s="12">
        <v>9.77</v>
      </c>
      <c r="M3">
        <f t="shared" ref="M3:M60" si="2">L3*2</f>
        <v>19.54</v>
      </c>
      <c r="N3" s="1">
        <f>1-M3/$M$2</f>
        <v>0.36681788723266362</v>
      </c>
      <c r="P3">
        <v>510</v>
      </c>
      <c r="Q3">
        <f>P3^2*100+100</f>
        <v>26010100</v>
      </c>
      <c r="R3" s="3">
        <f>Q3/$H3</f>
        <v>0.74061764768609417</v>
      </c>
      <c r="S3" t="s">
        <v>107</v>
      </c>
    </row>
    <row r="4" spans="1:19" x14ac:dyDescent="0.25">
      <c r="A4" t="s">
        <v>137</v>
      </c>
      <c r="B4" t="s">
        <v>44</v>
      </c>
      <c r="C4" s="2">
        <v>0.4</v>
      </c>
      <c r="D4" s="1" t="s">
        <v>46</v>
      </c>
      <c r="E4" s="9">
        <v>0.85570000000000002</v>
      </c>
      <c r="G4" s="1">
        <f>-$D$2 +E4</f>
        <v>1.0800000000000032E-2</v>
      </c>
      <c r="H4" s="14">
        <v>30780637</v>
      </c>
      <c r="I4" s="3">
        <f t="shared" si="0"/>
        <v>30.780636999999999</v>
      </c>
      <c r="J4" s="1">
        <f t="shared" si="1"/>
        <v>0.24810907498420276</v>
      </c>
      <c r="K4" s="3">
        <v>117.42</v>
      </c>
      <c r="L4" s="12">
        <v>5.2</v>
      </c>
      <c r="M4">
        <f t="shared" si="2"/>
        <v>10.4</v>
      </c>
      <c r="N4" s="1">
        <f t="shared" ref="N4:N9" si="3">1-M4/$M$2</f>
        <v>0.66299416720674009</v>
      </c>
      <c r="P4">
        <v>510</v>
      </c>
      <c r="Q4">
        <f t="shared" ref="Q4" si="4">P4^2*100+100</f>
        <v>26010100</v>
      </c>
      <c r="R4" s="3">
        <f t="shared" ref="R4:R5" si="5">Q4/$H4</f>
        <v>0.84501500082665604</v>
      </c>
      <c r="S4" t="s">
        <v>108</v>
      </c>
    </row>
    <row r="5" spans="1:19" x14ac:dyDescent="0.25">
      <c r="A5" t="s">
        <v>138</v>
      </c>
      <c r="B5" t="s">
        <v>44</v>
      </c>
      <c r="C5" s="2">
        <v>0.6</v>
      </c>
      <c r="D5" t="s">
        <v>47</v>
      </c>
      <c r="E5" s="9">
        <v>0.78639999999999999</v>
      </c>
      <c r="G5" s="1">
        <f>-$D$2 +E5</f>
        <v>-5.8499999999999996E-2</v>
      </c>
      <c r="H5" s="14">
        <v>27872092</v>
      </c>
      <c r="I5" s="3">
        <f t="shared" si="0"/>
        <v>27.872091999999999</v>
      </c>
      <c r="J5" s="1">
        <f t="shared" si="1"/>
        <v>0.31915726643326447</v>
      </c>
      <c r="K5" s="3">
        <v>106.32</v>
      </c>
      <c r="L5" s="12">
        <v>2.0699999999999998</v>
      </c>
      <c r="M5">
        <f t="shared" si="2"/>
        <v>4.1399999999999997</v>
      </c>
      <c r="N5" s="1">
        <f t="shared" si="3"/>
        <v>0.86584575502268313</v>
      </c>
      <c r="P5">
        <v>510</v>
      </c>
      <c r="Q5">
        <f>P5^2*100+100</f>
        <v>26010100</v>
      </c>
      <c r="R5" s="3">
        <f t="shared" si="5"/>
        <v>0.93319511143978717</v>
      </c>
      <c r="S5" t="s">
        <v>109</v>
      </c>
    </row>
    <row r="6" spans="1:19" x14ac:dyDescent="0.25">
      <c r="A6" t="s">
        <v>139</v>
      </c>
      <c r="B6" t="s">
        <v>44</v>
      </c>
      <c r="C6" s="2">
        <v>0.8</v>
      </c>
      <c r="D6" t="s">
        <v>47</v>
      </c>
      <c r="E6" s="9">
        <v>0.70147014701470101</v>
      </c>
      <c r="G6" s="1">
        <f>-$D$2 +E6</f>
        <v>-0.14342985298529898</v>
      </c>
      <c r="H6" s="14">
        <v>26404546</v>
      </c>
      <c r="I6" s="3">
        <f t="shared" si="0"/>
        <v>26.404546</v>
      </c>
      <c r="J6" s="1">
        <f t="shared" si="1"/>
        <v>0.35500559924857411</v>
      </c>
      <c r="K6" s="3">
        <v>100.73</v>
      </c>
      <c r="L6" s="12">
        <v>0.38</v>
      </c>
      <c r="M6">
        <f t="shared" si="2"/>
        <v>0.76</v>
      </c>
      <c r="N6" s="1">
        <f t="shared" si="3"/>
        <v>0.9753726506804925</v>
      </c>
      <c r="P6">
        <v>510</v>
      </c>
      <c r="Q6">
        <f>P6^2*100+100</f>
        <v>26010100</v>
      </c>
      <c r="R6" s="3">
        <f>Q6/$H6</f>
        <v>0.98506143601181406</v>
      </c>
      <c r="S6" t="s">
        <v>110</v>
      </c>
    </row>
    <row r="7" spans="1:19" x14ac:dyDescent="0.25">
      <c r="A7" t="s">
        <v>85</v>
      </c>
      <c r="B7" t="s">
        <v>44</v>
      </c>
      <c r="C7" s="2">
        <v>0.4</v>
      </c>
      <c r="F7" s="1">
        <v>0.86260000000000003</v>
      </c>
      <c r="G7" s="1">
        <f>-$D$2 +F7</f>
        <v>1.7700000000000049E-2</v>
      </c>
      <c r="H7" s="14">
        <v>30545143</v>
      </c>
      <c r="I7" s="3">
        <f t="shared" si="0"/>
        <v>30.545142999999999</v>
      </c>
      <c r="J7" s="1">
        <f t="shared" si="1"/>
        <v>0.25386158106442691</v>
      </c>
      <c r="K7" s="3">
        <v>116.52</v>
      </c>
      <c r="L7" s="12">
        <v>5.95</v>
      </c>
      <c r="M7">
        <f t="shared" si="2"/>
        <v>11.9</v>
      </c>
      <c r="N7" s="1">
        <f t="shared" si="3"/>
        <v>0.61438755670771217</v>
      </c>
      <c r="S7" t="s">
        <v>115</v>
      </c>
    </row>
    <row r="8" spans="1:19" s="18" customFormat="1" ht="16.5" x14ac:dyDescent="0.25">
      <c r="A8" s="18" t="s">
        <v>86</v>
      </c>
      <c r="B8" s="18" t="s">
        <v>44</v>
      </c>
      <c r="C8" s="19">
        <v>0.6</v>
      </c>
      <c r="E8" s="17"/>
      <c r="F8" s="17">
        <v>0.86050000000000004</v>
      </c>
      <c r="G8" s="17">
        <f>-$D$2 +F8</f>
        <v>1.5600000000000058E-2</v>
      </c>
      <c r="H8" s="20">
        <v>27587714</v>
      </c>
      <c r="I8" s="21">
        <f t="shared" si="0"/>
        <v>27.587713999999998</v>
      </c>
      <c r="J8" s="17">
        <f t="shared" si="1"/>
        <v>0.3261038815235936</v>
      </c>
      <c r="K8" s="21">
        <v>105.24</v>
      </c>
      <c r="L8" s="22">
        <v>2.25</v>
      </c>
      <c r="M8" s="18">
        <f t="shared" si="2"/>
        <v>4.5</v>
      </c>
      <c r="N8" s="17">
        <f t="shared" si="3"/>
        <v>0.85418016850291645</v>
      </c>
      <c r="S8" s="18" t="s">
        <v>116</v>
      </c>
    </row>
    <row r="9" spans="1:19" x14ac:dyDescent="0.25">
      <c r="A9" t="s">
        <v>87</v>
      </c>
      <c r="B9" t="s">
        <v>44</v>
      </c>
      <c r="C9" s="2">
        <v>0.8</v>
      </c>
      <c r="F9" s="1">
        <v>0.72309999999999997</v>
      </c>
      <c r="G9" s="1">
        <f>-$D$2 +F9</f>
        <v>-0.12180000000000002</v>
      </c>
      <c r="H9" s="14">
        <v>22494220</v>
      </c>
      <c r="I9" s="3">
        <f t="shared" si="0"/>
        <v>22.494219999999999</v>
      </c>
      <c r="J9" s="1">
        <f t="shared" si="1"/>
        <v>0.45052469566146902</v>
      </c>
      <c r="K9" s="3">
        <v>85.81</v>
      </c>
      <c r="L9" s="12">
        <v>0.41</v>
      </c>
      <c r="M9">
        <f t="shared" si="2"/>
        <v>0.82</v>
      </c>
      <c r="N9" s="1">
        <f t="shared" si="3"/>
        <v>0.97342838626053141</v>
      </c>
      <c r="S9" t="s">
        <v>117</v>
      </c>
    </row>
    <row r="10" spans="1:19" x14ac:dyDescent="0.25">
      <c r="G10" s="1"/>
      <c r="I10" s="3">
        <f t="shared" si="0"/>
        <v>0</v>
      </c>
      <c r="M10">
        <f t="shared" si="2"/>
        <v>0</v>
      </c>
    </row>
    <row r="11" spans="1:19" x14ac:dyDescent="0.25">
      <c r="G11" s="1"/>
      <c r="I11" s="3">
        <f t="shared" si="0"/>
        <v>0</v>
      </c>
      <c r="M11">
        <f t="shared" si="2"/>
        <v>0</v>
      </c>
    </row>
    <row r="12" spans="1:19" x14ac:dyDescent="0.25">
      <c r="A12" t="s">
        <v>62</v>
      </c>
      <c r="B12" t="s">
        <v>44</v>
      </c>
      <c r="C12" s="2">
        <v>0</v>
      </c>
      <c r="D12" s="1">
        <v>0.84519999999999995</v>
      </c>
      <c r="G12" s="1"/>
      <c r="H12" s="14">
        <v>40937636</v>
      </c>
      <c r="I12" s="3">
        <f t="shared" si="0"/>
        <v>40.937635999999998</v>
      </c>
      <c r="J12"/>
      <c r="L12" s="12">
        <v>15.43</v>
      </c>
      <c r="M12">
        <f t="shared" si="2"/>
        <v>30.86</v>
      </c>
      <c r="O12" s="11" t="s">
        <v>60</v>
      </c>
    </row>
    <row r="13" spans="1:19" x14ac:dyDescent="0.25">
      <c r="A13" t="s">
        <v>75</v>
      </c>
      <c r="B13" t="s">
        <v>44</v>
      </c>
      <c r="C13" s="2">
        <v>0.2</v>
      </c>
      <c r="D13" s="1">
        <v>0.85358535853585304</v>
      </c>
      <c r="G13" s="1"/>
      <c r="H13" s="14">
        <v>23801044</v>
      </c>
      <c r="I13" s="3">
        <f t="shared" si="0"/>
        <v>23.801044000000001</v>
      </c>
      <c r="J13" s="1">
        <f>1-H13/H12</f>
        <v>0.41860238339116607</v>
      </c>
      <c r="L13" s="12">
        <v>10.63</v>
      </c>
      <c r="M13">
        <f t="shared" si="2"/>
        <v>21.26</v>
      </c>
      <c r="N13" s="1">
        <f>1-M13/M12</f>
        <v>0.31108230719377827</v>
      </c>
      <c r="P13">
        <v>213</v>
      </c>
      <c r="Q13">
        <f>P13^2*100+100</f>
        <v>4537000</v>
      </c>
      <c r="R13" s="3">
        <f>Q13/$H13</f>
        <v>0.19062189036749816</v>
      </c>
      <c r="S13" t="s">
        <v>76</v>
      </c>
    </row>
    <row r="14" spans="1:19" x14ac:dyDescent="0.25">
      <c r="A14" t="s">
        <v>74</v>
      </c>
      <c r="B14" t="s">
        <v>44</v>
      </c>
      <c r="C14" s="2">
        <v>0.4</v>
      </c>
      <c r="D14" s="1">
        <v>0.86168616861686098</v>
      </c>
      <c r="G14" s="1"/>
      <c r="H14" s="14">
        <v>10052251</v>
      </c>
      <c r="I14" s="3">
        <f t="shared" si="0"/>
        <v>10.052251</v>
      </c>
      <c r="J14" s="1">
        <f>1-H14/H12</f>
        <v>0.7544496462863659</v>
      </c>
      <c r="L14" s="12">
        <v>6.74</v>
      </c>
      <c r="M14">
        <f t="shared" si="2"/>
        <v>13.48</v>
      </c>
      <c r="N14" s="1">
        <f>1-M14/M12</f>
        <v>0.56318859364873619</v>
      </c>
      <c r="P14">
        <v>378</v>
      </c>
      <c r="Q14">
        <f t="shared" ref="Q14:Q15" si="6">P14^2*100+100</f>
        <v>14288500</v>
      </c>
      <c r="R14" s="3">
        <f t="shared" ref="R14:R15" si="7">Q14/$H14</f>
        <v>1.4214229230845907</v>
      </c>
      <c r="S14" t="s">
        <v>73</v>
      </c>
    </row>
    <row r="15" spans="1:19" s="4" customFormat="1" ht="16.5" x14ac:dyDescent="0.25">
      <c r="A15" s="4" t="s">
        <v>61</v>
      </c>
      <c r="B15" s="4" t="s">
        <v>44</v>
      </c>
      <c r="C15" s="5">
        <v>0.6</v>
      </c>
      <c r="D15" s="6">
        <v>0.85750000000000004</v>
      </c>
      <c r="E15" s="6"/>
      <c r="F15" s="6"/>
      <c r="G15" s="6"/>
      <c r="H15" s="15">
        <v>3612260</v>
      </c>
      <c r="I15" s="7">
        <f t="shared" si="0"/>
        <v>3.61226</v>
      </c>
      <c r="J15" s="6">
        <f>1-H15/H12</f>
        <v>0.91176188092541544</v>
      </c>
      <c r="K15" s="7"/>
      <c r="L15" s="13">
        <v>3.39</v>
      </c>
      <c r="M15" s="4">
        <f t="shared" si="2"/>
        <v>6.78</v>
      </c>
      <c r="N15" s="6">
        <f>1-M15/M2</f>
        <v>0.78029812054439396</v>
      </c>
      <c r="O15" s="4" t="s">
        <v>60</v>
      </c>
      <c r="P15" s="4">
        <v>109</v>
      </c>
      <c r="Q15" s="4">
        <f t="shared" si="6"/>
        <v>1188200</v>
      </c>
      <c r="R15" s="7">
        <f t="shared" si="7"/>
        <v>0.32893534795391249</v>
      </c>
      <c r="S15" s="4" t="s">
        <v>77</v>
      </c>
    </row>
    <row r="16" spans="1:19" x14ac:dyDescent="0.25">
      <c r="M16">
        <f t="shared" si="2"/>
        <v>0</v>
      </c>
    </row>
    <row r="17" spans="1:19" x14ac:dyDescent="0.25">
      <c r="M17">
        <f t="shared" si="2"/>
        <v>0</v>
      </c>
    </row>
    <row r="18" spans="1:19" x14ac:dyDescent="0.25">
      <c r="A18" t="s">
        <v>52</v>
      </c>
      <c r="B18" t="s">
        <v>43</v>
      </c>
      <c r="C18" s="2">
        <v>0</v>
      </c>
      <c r="D18" s="1">
        <v>0.73499999999999999</v>
      </c>
      <c r="G18" s="1"/>
      <c r="H18" s="14">
        <v>67152136</v>
      </c>
      <c r="I18" s="3">
        <f t="shared" ref="I18:I29" si="8">H18/1000000</f>
        <v>67.152135999999999</v>
      </c>
      <c r="K18" s="3">
        <v>256.17</v>
      </c>
      <c r="L18" s="12">
        <v>15.46</v>
      </c>
      <c r="M18">
        <f t="shared" si="2"/>
        <v>30.92</v>
      </c>
    </row>
    <row r="19" spans="1:19" x14ac:dyDescent="0.25">
      <c r="A19" t="s">
        <v>38</v>
      </c>
      <c r="B19" t="s">
        <v>43</v>
      </c>
      <c r="C19" s="2">
        <v>0.2</v>
      </c>
      <c r="D19" s="1"/>
      <c r="E19" s="9">
        <v>0.72920262340352004</v>
      </c>
      <c r="G19" s="1">
        <f>-$D$18+E19</f>
        <v>-5.7973765964799417E-3</v>
      </c>
      <c r="H19" s="14">
        <v>50762188</v>
      </c>
      <c r="I19" s="3">
        <f t="shared" si="8"/>
        <v>50.762188000000002</v>
      </c>
      <c r="J19" s="1">
        <f t="shared" ref="J19:J25" si="9">1-(H19/$H$18)</f>
        <v>0.24407187881558967</v>
      </c>
      <c r="K19" s="3">
        <v>193.64</v>
      </c>
      <c r="L19" s="12">
        <v>10.01</v>
      </c>
      <c r="M19">
        <f t="shared" si="2"/>
        <v>20.02</v>
      </c>
      <c r="N19" s="9">
        <f>1-M19/$M$18</f>
        <v>0.35252263906856407</v>
      </c>
      <c r="P19">
        <v>455</v>
      </c>
      <c r="Q19">
        <f>P19^2*200+200</f>
        <v>41405200</v>
      </c>
      <c r="R19" s="3">
        <f>Q19/$H19</f>
        <v>0.81567012044476883</v>
      </c>
      <c r="S19" t="s">
        <v>80</v>
      </c>
    </row>
    <row r="20" spans="1:19" x14ac:dyDescent="0.25">
      <c r="A20" t="s">
        <v>39</v>
      </c>
      <c r="B20" t="s">
        <v>43</v>
      </c>
      <c r="C20" s="2">
        <v>0.4</v>
      </c>
      <c r="D20" s="1"/>
      <c r="E20" s="9">
        <v>0.71539523645150105</v>
      </c>
      <c r="G20" s="1">
        <f>-$D$18+E20</f>
        <v>-1.9604763548498938E-2</v>
      </c>
      <c r="H20" s="14">
        <v>28794106</v>
      </c>
      <c r="I20" s="3">
        <f t="shared" si="8"/>
        <v>28.794105999999999</v>
      </c>
      <c r="J20" s="1">
        <f t="shared" si="9"/>
        <v>0.57121086959914424</v>
      </c>
      <c r="K20" s="3">
        <v>109.84</v>
      </c>
      <c r="L20" s="12">
        <v>5.63</v>
      </c>
      <c r="M20">
        <f t="shared" si="2"/>
        <v>11.26</v>
      </c>
      <c r="N20" s="9">
        <f t="shared" ref="N20:N25" si="10">1-M20/$M$18</f>
        <v>0.63583441138421737</v>
      </c>
      <c r="P20">
        <v>343</v>
      </c>
      <c r="Q20">
        <f t="shared" ref="Q20:Q22" si="11">P20^2*200+200</f>
        <v>23530000</v>
      </c>
      <c r="R20" s="3">
        <f t="shared" ref="R20:R22" si="12">Q20/$H20</f>
        <v>0.81718112727653358</v>
      </c>
      <c r="S20" t="s">
        <v>81</v>
      </c>
    </row>
    <row r="21" spans="1:19" x14ac:dyDescent="0.25">
      <c r="A21" t="s">
        <v>40</v>
      </c>
      <c r="B21" t="s">
        <v>43</v>
      </c>
      <c r="C21" s="2">
        <v>0.6</v>
      </c>
      <c r="E21" s="9">
        <v>0.69399378667587097</v>
      </c>
      <c r="G21" s="1">
        <f>-$D$18+E21</f>
        <v>-4.1006213324129015E-2</v>
      </c>
      <c r="H21" s="14">
        <v>15308215</v>
      </c>
      <c r="I21" s="3">
        <f t="shared" si="8"/>
        <v>15.308215000000001</v>
      </c>
      <c r="J21" s="1">
        <f t="shared" si="9"/>
        <v>0.77203681205315644</v>
      </c>
      <c r="K21" s="3">
        <v>58.4</v>
      </c>
      <c r="L21" s="12">
        <v>2.61</v>
      </c>
      <c r="M21">
        <f t="shared" si="2"/>
        <v>5.22</v>
      </c>
      <c r="N21" s="9">
        <f t="shared" si="10"/>
        <v>0.83117723156532985</v>
      </c>
      <c r="P21">
        <v>256</v>
      </c>
      <c r="Q21">
        <f t="shared" si="11"/>
        <v>13107400</v>
      </c>
      <c r="R21" s="3">
        <f t="shared" si="12"/>
        <v>0.85623307485555955</v>
      </c>
      <c r="S21" t="s">
        <v>82</v>
      </c>
    </row>
    <row r="22" spans="1:19" x14ac:dyDescent="0.25">
      <c r="A22" t="s">
        <v>41</v>
      </c>
      <c r="B22" t="s">
        <v>43</v>
      </c>
      <c r="C22" s="2">
        <v>0.8</v>
      </c>
      <c r="E22" s="9">
        <v>0.56499999999999995</v>
      </c>
      <c r="G22" s="1">
        <f>-$D$18+E22</f>
        <v>-0.17000000000000004</v>
      </c>
      <c r="H22" s="14">
        <v>5357966</v>
      </c>
      <c r="I22" s="3">
        <f>H22/1000000</f>
        <v>5.3579660000000002</v>
      </c>
      <c r="J22" s="1">
        <f t="shared" si="9"/>
        <v>0.92021153280961898</v>
      </c>
      <c r="K22" s="3">
        <v>20.440000000000001</v>
      </c>
      <c r="L22" s="12">
        <v>0.87</v>
      </c>
      <c r="M22">
        <f t="shared" si="2"/>
        <v>1.74</v>
      </c>
      <c r="N22" s="9">
        <f t="shared" si="10"/>
        <v>0.94372574385510999</v>
      </c>
      <c r="P22">
        <v>156</v>
      </c>
      <c r="Q22">
        <f t="shared" si="11"/>
        <v>4867400</v>
      </c>
      <c r="R22" s="3">
        <f t="shared" si="12"/>
        <v>0.90844174823057855</v>
      </c>
      <c r="S22" t="s">
        <v>140</v>
      </c>
    </row>
    <row r="23" spans="1:19" x14ac:dyDescent="0.25">
      <c r="A23" t="s">
        <v>78</v>
      </c>
      <c r="B23" t="s">
        <v>43</v>
      </c>
      <c r="C23" s="2">
        <v>0.4</v>
      </c>
      <c r="F23" s="1">
        <v>0.71399999999999997</v>
      </c>
      <c r="G23" s="1">
        <f>-$D$18+F23</f>
        <v>-2.1000000000000019E-2</v>
      </c>
      <c r="H23" s="14">
        <v>29615713</v>
      </c>
      <c r="I23" s="3">
        <f t="shared" si="8"/>
        <v>29.615713</v>
      </c>
      <c r="J23" s="1">
        <f t="shared" si="9"/>
        <v>0.55897586042534819</v>
      </c>
      <c r="K23" s="3">
        <v>112.97</v>
      </c>
      <c r="L23" s="12">
        <v>5.56</v>
      </c>
      <c r="M23">
        <f>L23*2</f>
        <v>11.12</v>
      </c>
      <c r="N23" s="9">
        <f t="shared" si="10"/>
        <v>0.64036222509702467</v>
      </c>
    </row>
    <row r="24" spans="1:19" x14ac:dyDescent="0.25">
      <c r="A24" t="s">
        <v>79</v>
      </c>
      <c r="B24" t="s">
        <v>43</v>
      </c>
      <c r="C24" s="2">
        <v>0.6</v>
      </c>
      <c r="F24" s="1">
        <v>0.69499999999999995</v>
      </c>
      <c r="G24" s="1">
        <f>-$D$18+F24</f>
        <v>-4.0000000000000036E-2</v>
      </c>
      <c r="H24" s="14">
        <v>16037008</v>
      </c>
      <c r="I24" s="3">
        <f t="shared" si="8"/>
        <v>16.037008</v>
      </c>
      <c r="J24" s="1">
        <f t="shared" si="9"/>
        <v>0.76118394804299294</v>
      </c>
      <c r="K24" s="3">
        <v>61.18</v>
      </c>
      <c r="L24" s="12">
        <v>2.72</v>
      </c>
      <c r="M24">
        <f>L24*2</f>
        <v>5.44</v>
      </c>
      <c r="N24" s="9">
        <f t="shared" si="10"/>
        <v>0.82406209573091849</v>
      </c>
    </row>
    <row r="25" spans="1:19" x14ac:dyDescent="0.25">
      <c r="A25" t="s">
        <v>54</v>
      </c>
      <c r="B25" t="s">
        <v>43</v>
      </c>
      <c r="C25" s="2">
        <v>0.8</v>
      </c>
      <c r="F25" s="1">
        <v>0.56710000000000005</v>
      </c>
      <c r="G25" s="1">
        <f>-$D$18+F25</f>
        <v>-0.16789999999999994</v>
      </c>
      <c r="H25" s="14">
        <v>5453896</v>
      </c>
      <c r="I25" s="3">
        <f t="shared" si="8"/>
        <v>5.4538960000000003</v>
      </c>
      <c r="J25" s="1">
        <f t="shared" si="9"/>
        <v>0.91878298554792059</v>
      </c>
      <c r="K25" s="3">
        <v>20.8</v>
      </c>
      <c r="L25" s="12">
        <v>0.74</v>
      </c>
      <c r="M25">
        <f t="shared" si="2"/>
        <v>1.48</v>
      </c>
      <c r="N25" s="9">
        <f t="shared" si="10"/>
        <v>0.95213454075032344</v>
      </c>
    </row>
    <row r="26" spans="1:19" x14ac:dyDescent="0.25">
      <c r="G26" s="1"/>
      <c r="N26" s="9"/>
    </row>
    <row r="27" spans="1:19" x14ac:dyDescent="0.25">
      <c r="A27" t="s">
        <v>63</v>
      </c>
      <c r="B27" t="s">
        <v>43</v>
      </c>
      <c r="C27" s="2">
        <v>0</v>
      </c>
      <c r="E27" s="9">
        <v>0.74039999999999995</v>
      </c>
      <c r="G27" s="1"/>
      <c r="H27" s="14">
        <v>67152136</v>
      </c>
      <c r="I27" s="3">
        <f t="shared" si="8"/>
        <v>67.152135999999999</v>
      </c>
      <c r="L27" s="12">
        <v>15.46</v>
      </c>
      <c r="M27">
        <f t="shared" si="2"/>
        <v>30.92</v>
      </c>
      <c r="O27" t="s">
        <v>56</v>
      </c>
    </row>
    <row r="28" spans="1:19" x14ac:dyDescent="0.25">
      <c r="A28" t="s">
        <v>141</v>
      </c>
      <c r="C28" s="2">
        <v>0.2</v>
      </c>
      <c r="E28" s="9">
        <v>0.74390000000000001</v>
      </c>
      <c r="G28" s="1"/>
      <c r="H28" s="14">
        <v>14911939</v>
      </c>
      <c r="I28" s="3">
        <f t="shared" si="8"/>
        <v>14.911939</v>
      </c>
      <c r="J28" s="1">
        <f>1-H28/H18</f>
        <v>0.7779379795156478</v>
      </c>
      <c r="L28" s="12">
        <v>11.93</v>
      </c>
      <c r="M28">
        <f t="shared" si="2"/>
        <v>23.86</v>
      </c>
      <c r="N28" s="1">
        <f>1-M28/M27</f>
        <v>0.22833117723156537</v>
      </c>
      <c r="S28" t="s">
        <v>142</v>
      </c>
    </row>
    <row r="29" spans="1:19" s="4" customFormat="1" ht="16.5" x14ac:dyDescent="0.25">
      <c r="A29" s="4" t="s">
        <v>64</v>
      </c>
      <c r="C29" s="5">
        <v>0.22</v>
      </c>
      <c r="E29" s="6">
        <v>0.7339</v>
      </c>
      <c r="F29" s="6"/>
      <c r="G29" s="6"/>
      <c r="H29" s="24">
        <v>10753816</v>
      </c>
      <c r="I29" s="7">
        <f t="shared" si="8"/>
        <v>10.753816</v>
      </c>
      <c r="J29" s="6">
        <f>1-H29/H18</f>
        <v>0.83985891379538546</v>
      </c>
      <c r="K29" s="7"/>
      <c r="L29" s="13">
        <v>11.86</v>
      </c>
      <c r="M29" s="4">
        <f t="shared" si="2"/>
        <v>23.72</v>
      </c>
      <c r="N29" s="6">
        <f>1-M29/M27</f>
        <v>0.23285899094437268</v>
      </c>
    </row>
    <row r="30" spans="1:19" x14ac:dyDescent="0.25">
      <c r="G30" s="1"/>
      <c r="M30">
        <f t="shared" si="2"/>
        <v>0</v>
      </c>
    </row>
    <row r="31" spans="1:19" x14ac:dyDescent="0.25">
      <c r="A31" t="s">
        <v>123</v>
      </c>
      <c r="E31" s="9">
        <v>0.75029999999999997</v>
      </c>
      <c r="G31" s="1"/>
      <c r="H31" s="14">
        <v>67152136</v>
      </c>
      <c r="I31" s="3">
        <f>H31/1000000</f>
        <v>67.152135999999999</v>
      </c>
      <c r="L31" s="12">
        <v>15.46</v>
      </c>
      <c r="M31">
        <f t="shared" si="2"/>
        <v>30.92</v>
      </c>
    </row>
    <row r="32" spans="1:19" x14ac:dyDescent="0.25">
      <c r="A32" t="s">
        <v>125</v>
      </c>
      <c r="E32" s="9">
        <v>0.74339999999999995</v>
      </c>
      <c r="G32" s="1"/>
      <c r="I32" s="3">
        <f t="shared" ref="I32:I35" si="13">H32/1000000</f>
        <v>0</v>
      </c>
      <c r="J32" s="1">
        <f>1-H32/$H$31</f>
        <v>1</v>
      </c>
      <c r="M32">
        <f t="shared" si="2"/>
        <v>0</v>
      </c>
      <c r="N32" s="1">
        <f>1-M32/$M$31</f>
        <v>1</v>
      </c>
      <c r="P32">
        <v>417</v>
      </c>
      <c r="Q32">
        <f>P32^2*200+200</f>
        <v>34778000</v>
      </c>
    </row>
    <row r="33" spans="1:19" x14ac:dyDescent="0.25">
      <c r="A33" t="s">
        <v>124</v>
      </c>
      <c r="E33" s="9">
        <v>0.74180000000000001</v>
      </c>
      <c r="G33" s="1"/>
      <c r="I33" s="3">
        <f t="shared" si="13"/>
        <v>0</v>
      </c>
      <c r="J33" s="1">
        <f t="shared" ref="J33:J35" si="14">1-H33/$H$31</f>
        <v>1</v>
      </c>
      <c r="M33">
        <f t="shared" si="2"/>
        <v>0</v>
      </c>
      <c r="N33" s="1">
        <f t="shared" ref="N33:N34" si="15">1-M33/$M$31</f>
        <v>1</v>
      </c>
      <c r="P33">
        <v>352</v>
      </c>
      <c r="Q33">
        <f>P33^2*200+200</f>
        <v>24781000</v>
      </c>
    </row>
    <row r="34" spans="1:19" x14ac:dyDescent="0.25">
      <c r="A34" t="s">
        <v>126</v>
      </c>
      <c r="E34" s="9">
        <v>0.72519999999999996</v>
      </c>
      <c r="G34" s="1"/>
      <c r="I34" s="3">
        <f t="shared" si="13"/>
        <v>0</v>
      </c>
      <c r="J34" s="1">
        <f t="shared" si="14"/>
        <v>1</v>
      </c>
      <c r="M34">
        <f t="shared" si="2"/>
        <v>0</v>
      </c>
      <c r="N34" s="1">
        <f t="shared" si="15"/>
        <v>1</v>
      </c>
      <c r="P34">
        <v>173</v>
      </c>
      <c r="Q34">
        <f>P34^2*200+200</f>
        <v>5986000</v>
      </c>
    </row>
    <row r="35" spans="1:19" x14ac:dyDescent="0.25">
      <c r="A35" t="s">
        <v>127</v>
      </c>
      <c r="G35" s="1"/>
      <c r="I35" s="3">
        <f t="shared" si="13"/>
        <v>0</v>
      </c>
      <c r="J35" s="1">
        <f t="shared" si="14"/>
        <v>1</v>
      </c>
      <c r="M35">
        <f t="shared" si="2"/>
        <v>0</v>
      </c>
      <c r="N35" s="1">
        <f>1-M35/$M$31</f>
        <v>1</v>
      </c>
      <c r="Q35">
        <f t="shared" ref="Q35" si="16">P35^2*200+200</f>
        <v>200</v>
      </c>
    </row>
    <row r="36" spans="1:19" x14ac:dyDescent="0.25">
      <c r="G36" s="1"/>
    </row>
    <row r="37" spans="1:19" x14ac:dyDescent="0.25">
      <c r="G37" s="1"/>
    </row>
    <row r="38" spans="1:19" x14ac:dyDescent="0.25">
      <c r="G38" s="1"/>
    </row>
    <row r="39" spans="1:19" x14ac:dyDescent="0.25">
      <c r="G39" s="1"/>
    </row>
    <row r="40" spans="1:19" x14ac:dyDescent="0.25">
      <c r="G40" s="1"/>
    </row>
    <row r="41" spans="1:19" x14ac:dyDescent="0.25">
      <c r="M41">
        <f t="shared" si="2"/>
        <v>0</v>
      </c>
    </row>
    <row r="42" spans="1:19" x14ac:dyDescent="0.25">
      <c r="A42" t="s">
        <v>55</v>
      </c>
      <c r="B42" t="s">
        <v>42</v>
      </c>
      <c r="D42" s="1">
        <v>0.874145006839945</v>
      </c>
      <c r="H42" s="14">
        <v>66103556</v>
      </c>
      <c r="I42" s="3">
        <f t="shared" ref="I42:I53" si="17">H42/1000000</f>
        <v>66.103555999999998</v>
      </c>
      <c r="K42" s="3">
        <v>256.17</v>
      </c>
      <c r="L42" s="12">
        <v>15.46</v>
      </c>
      <c r="M42">
        <f>L42*2</f>
        <v>30.92</v>
      </c>
    </row>
    <row r="43" spans="1:19" x14ac:dyDescent="0.25">
      <c r="A43" t="s">
        <v>88</v>
      </c>
      <c r="B43" t="s">
        <v>42</v>
      </c>
      <c r="C43" s="2">
        <v>0.2</v>
      </c>
      <c r="D43" s="1"/>
      <c r="E43" s="9">
        <v>0.87128466608630695</v>
      </c>
      <c r="G43" s="1"/>
      <c r="H43" s="14">
        <v>43633990</v>
      </c>
      <c r="I43" s="3">
        <f t="shared" si="17"/>
        <v>43.633989999999997</v>
      </c>
      <c r="J43" s="1">
        <f t="shared" ref="J43:J49" si="18">1-H43/$H$42</f>
        <v>0.33991463333682082</v>
      </c>
      <c r="L43" s="12">
        <v>9.57</v>
      </c>
      <c r="M43">
        <f t="shared" si="2"/>
        <v>19.14</v>
      </c>
      <c r="N43" s="9">
        <f t="shared" ref="N43:N49" si="19">1-M43/$M$42</f>
        <v>0.38098318240620954</v>
      </c>
      <c r="P43">
        <v>417</v>
      </c>
      <c r="Q43">
        <f>P43^2*196+196</f>
        <v>34082440</v>
      </c>
      <c r="R43" s="3">
        <f>Q43/$H43</f>
        <v>0.78109840516533102</v>
      </c>
      <c r="S43" t="s">
        <v>92</v>
      </c>
    </row>
    <row r="44" spans="1:19" x14ac:dyDescent="0.25">
      <c r="A44" t="s">
        <v>89</v>
      </c>
      <c r="B44" t="s">
        <v>42</v>
      </c>
      <c r="C44" s="2">
        <v>0.4</v>
      </c>
      <c r="D44" s="1"/>
      <c r="E44" s="9">
        <v>0.87260000000000004</v>
      </c>
      <c r="G44" s="1"/>
      <c r="H44" s="14">
        <v>29377694</v>
      </c>
      <c r="I44" s="3">
        <f t="shared" si="17"/>
        <v>29.377694000000002</v>
      </c>
      <c r="J44" s="1">
        <f t="shared" si="18"/>
        <v>0.55558073154188559</v>
      </c>
      <c r="L44" s="12">
        <v>5.37</v>
      </c>
      <c r="M44">
        <f>L44*2</f>
        <v>10.74</v>
      </c>
      <c r="N44" s="9">
        <f t="shared" si="19"/>
        <v>0.65265200517464428</v>
      </c>
      <c r="P44">
        <v>352</v>
      </c>
      <c r="Q44">
        <f t="shared" ref="Q44:Q46" si="20">P44^2*196+196</f>
        <v>24285380</v>
      </c>
      <c r="R44" s="3">
        <f t="shared" ref="R44:R46" si="21">Q44/$H44</f>
        <v>0.82666052686095781</v>
      </c>
      <c r="S44" t="s">
        <v>93</v>
      </c>
    </row>
    <row r="45" spans="1:19" x14ac:dyDescent="0.25">
      <c r="A45" t="s">
        <v>90</v>
      </c>
      <c r="B45" t="s">
        <v>42</v>
      </c>
      <c r="C45" s="2">
        <v>0.6</v>
      </c>
      <c r="E45" s="9">
        <v>0.86494217137171903</v>
      </c>
      <c r="G45" s="1"/>
      <c r="H45" s="14">
        <v>8265491</v>
      </c>
      <c r="I45" s="3">
        <f t="shared" si="17"/>
        <v>8.2654910000000008</v>
      </c>
      <c r="J45" s="1">
        <f t="shared" si="18"/>
        <v>0.87496147711024808</v>
      </c>
      <c r="L45" s="12">
        <v>1.97</v>
      </c>
      <c r="M45">
        <f t="shared" si="2"/>
        <v>3.94</v>
      </c>
      <c r="N45" s="9">
        <f t="shared" si="19"/>
        <v>0.87257438551099609</v>
      </c>
      <c r="P45">
        <v>173</v>
      </c>
      <c r="Q45">
        <f t="shared" si="20"/>
        <v>5866280</v>
      </c>
      <c r="R45" s="3">
        <f>Q45/$H45</f>
        <v>0.70973158158420357</v>
      </c>
      <c r="S45" t="s">
        <v>94</v>
      </c>
    </row>
    <row r="46" spans="1:19" x14ac:dyDescent="0.25">
      <c r="A46" t="s">
        <v>91</v>
      </c>
      <c r="B46" t="s">
        <v>42</v>
      </c>
      <c r="C46" s="2">
        <v>0.8</v>
      </c>
      <c r="E46" s="9">
        <v>0.71660000000000001</v>
      </c>
      <c r="G46" s="1"/>
      <c r="H46" s="14">
        <v>1204831</v>
      </c>
      <c r="I46" s="3">
        <f t="shared" si="17"/>
        <v>1.204831</v>
      </c>
      <c r="J46" s="1">
        <f t="shared" si="18"/>
        <v>0.98177358264962322</v>
      </c>
      <c r="L46" s="12">
        <v>0.42</v>
      </c>
      <c r="M46">
        <f t="shared" si="2"/>
        <v>0.84</v>
      </c>
      <c r="N46" s="9">
        <f t="shared" si="19"/>
        <v>0.9728331177231565</v>
      </c>
      <c r="P46">
        <v>57</v>
      </c>
      <c r="Q46">
        <f t="shared" si="20"/>
        <v>637000</v>
      </c>
      <c r="R46" s="3">
        <f t="shared" si="21"/>
        <v>0.52870485570175407</v>
      </c>
      <c r="S46" t="s">
        <v>95</v>
      </c>
    </row>
    <row r="47" spans="1:19" x14ac:dyDescent="0.25">
      <c r="A47" t="s">
        <v>96</v>
      </c>
      <c r="B47" t="s">
        <v>42</v>
      </c>
      <c r="C47" s="2">
        <v>0.4</v>
      </c>
      <c r="F47" s="1">
        <v>0.87119999999999997</v>
      </c>
      <c r="G47" s="1">
        <f>-$D$42 +F47</f>
        <v>-2.9450068399450302E-3</v>
      </c>
      <c r="H47" s="23">
        <v>30497953</v>
      </c>
      <c r="I47" s="3">
        <f>H47/1000000</f>
        <v>30.497952999999999</v>
      </c>
      <c r="J47" s="1">
        <f t="shared" si="18"/>
        <v>0.53863370073464734</v>
      </c>
      <c r="K47" s="3">
        <v>117.17</v>
      </c>
      <c r="L47" s="12">
        <v>5.26</v>
      </c>
      <c r="M47">
        <f>L47*2</f>
        <v>10.52</v>
      </c>
      <c r="N47" s="9">
        <f t="shared" si="19"/>
        <v>0.65976714100905565</v>
      </c>
      <c r="S47" t="s">
        <v>112</v>
      </c>
    </row>
    <row r="48" spans="1:19" x14ac:dyDescent="0.25">
      <c r="A48" t="s">
        <v>97</v>
      </c>
      <c r="B48" t="s">
        <v>42</v>
      </c>
      <c r="C48">
        <v>0.6</v>
      </c>
      <c r="E48"/>
      <c r="F48" s="1">
        <v>0.83509999999999995</v>
      </c>
      <c r="G48">
        <f>-$D$42 +F48</f>
        <v>-3.9045006839945051E-2</v>
      </c>
      <c r="H48" s="26">
        <v>18420932</v>
      </c>
      <c r="I48">
        <f>H48/1000000</f>
        <v>18.420932000000001</v>
      </c>
      <c r="J48" s="1">
        <f t="shared" si="18"/>
        <v>0.72133220790724173</v>
      </c>
      <c r="K48">
        <v>57.1</v>
      </c>
      <c r="L48" s="12">
        <v>1.6</v>
      </c>
      <c r="M48">
        <f t="shared" si="2"/>
        <v>3.2</v>
      </c>
      <c r="N48" s="9">
        <f t="shared" si="19"/>
        <v>0.89650711513583436</v>
      </c>
      <c r="S48" t="s">
        <v>113</v>
      </c>
    </row>
    <row r="49" spans="1:19" x14ac:dyDescent="0.25">
      <c r="A49" t="s">
        <v>98</v>
      </c>
      <c r="B49" t="s">
        <v>42</v>
      </c>
      <c r="C49" s="2">
        <v>0.8</v>
      </c>
      <c r="F49" s="1">
        <v>0.79820000000000002</v>
      </c>
      <c r="G49" s="1">
        <f>-$D$42 +F49</f>
        <v>-7.5945006839944984E-2</v>
      </c>
      <c r="H49" s="23">
        <v>4378253</v>
      </c>
      <c r="I49" s="3">
        <f t="shared" si="17"/>
        <v>4.378253</v>
      </c>
      <c r="J49" s="1">
        <f t="shared" si="18"/>
        <v>0.93376675530133357</v>
      </c>
      <c r="K49" s="3">
        <v>16.72</v>
      </c>
      <c r="L49" s="12">
        <v>0.33</v>
      </c>
      <c r="M49">
        <f t="shared" si="2"/>
        <v>0.66</v>
      </c>
      <c r="N49" s="9">
        <f t="shared" si="19"/>
        <v>0.9786545924967659</v>
      </c>
      <c r="S49" t="s">
        <v>114</v>
      </c>
    </row>
    <row r="50" spans="1:19" x14ac:dyDescent="0.25">
      <c r="I50" s="3">
        <f t="shared" si="17"/>
        <v>0</v>
      </c>
      <c r="M50">
        <f t="shared" si="2"/>
        <v>0</v>
      </c>
    </row>
    <row r="51" spans="1:19" x14ac:dyDescent="0.25">
      <c r="I51" s="3">
        <f t="shared" si="17"/>
        <v>0</v>
      </c>
      <c r="M51">
        <f t="shared" si="2"/>
        <v>0</v>
      </c>
    </row>
    <row r="52" spans="1:19" x14ac:dyDescent="0.25">
      <c r="I52" s="3">
        <f t="shared" si="17"/>
        <v>0</v>
      </c>
      <c r="M52">
        <f t="shared" si="2"/>
        <v>0</v>
      </c>
    </row>
    <row r="53" spans="1:19" x14ac:dyDescent="0.25">
      <c r="I53" s="3">
        <f t="shared" si="17"/>
        <v>0</v>
      </c>
      <c r="M53">
        <f t="shared" si="2"/>
        <v>0</v>
      </c>
    </row>
    <row r="54" spans="1:19" x14ac:dyDescent="0.25">
      <c r="M54">
        <f>L54*2</f>
        <v>0</v>
      </c>
    </row>
    <row r="55" spans="1:19" x14ac:dyDescent="0.25">
      <c r="A55" t="s">
        <v>100</v>
      </c>
      <c r="E55" s="9">
        <v>0.86257928118393201</v>
      </c>
      <c r="H55" s="14">
        <v>51547820</v>
      </c>
      <c r="I55" s="3">
        <f>H55/1000000</f>
        <v>51.547820000000002</v>
      </c>
      <c r="J55" s="1">
        <f>1-H55/$H$42</f>
        <v>0.2201959604109649</v>
      </c>
      <c r="L55" s="12">
        <v>9.5299999999999994</v>
      </c>
      <c r="M55">
        <f t="shared" si="2"/>
        <v>19.059999999999999</v>
      </c>
      <c r="N55" s="1">
        <f>1-M55/$M$42</f>
        <v>0.38357050452781383</v>
      </c>
      <c r="S55" t="s">
        <v>102</v>
      </c>
    </row>
    <row r="56" spans="1:19" x14ac:dyDescent="0.25">
      <c r="A56" t="s">
        <v>101</v>
      </c>
      <c r="E56" s="9">
        <v>0.86580000000000001</v>
      </c>
      <c r="H56" s="14">
        <v>11355776</v>
      </c>
      <c r="I56" s="3">
        <f>H56/1000000</f>
        <v>11.355776000000001</v>
      </c>
      <c r="J56" s="1">
        <f>1-H56/$H$42</f>
        <v>0.828212327941934</v>
      </c>
      <c r="L56" s="12">
        <v>6.24</v>
      </c>
      <c r="M56">
        <f t="shared" si="2"/>
        <v>12.48</v>
      </c>
      <c r="N56" s="1">
        <f t="shared" ref="N56:N57" si="22">1-M56/$M$42</f>
        <v>0.59637774902975416</v>
      </c>
      <c r="S56" t="s">
        <v>103</v>
      </c>
    </row>
    <row r="57" spans="1:19" s="4" customFormat="1" ht="16.5" x14ac:dyDescent="0.25">
      <c r="A57" s="4" t="s">
        <v>99</v>
      </c>
      <c r="C57" s="5"/>
      <c r="E57" s="10">
        <v>0.86570000000000003</v>
      </c>
      <c r="F57" s="6"/>
      <c r="H57" s="16">
        <v>5809175</v>
      </c>
      <c r="I57" s="3">
        <f>H57/1000000</f>
        <v>5.8091749999999998</v>
      </c>
      <c r="J57" s="1">
        <f>1-H57/$H$42</f>
        <v>0.91212008322214921</v>
      </c>
      <c r="K57" s="7"/>
      <c r="L57" s="12">
        <v>5.4</v>
      </c>
      <c r="M57">
        <f t="shared" si="2"/>
        <v>10.8</v>
      </c>
      <c r="N57" s="1">
        <f t="shared" si="22"/>
        <v>0.65071151358344115</v>
      </c>
      <c r="O57" s="4" t="s">
        <v>58</v>
      </c>
      <c r="S57" s="4" t="s">
        <v>67</v>
      </c>
    </row>
    <row r="58" spans="1:19" x14ac:dyDescent="0.25">
      <c r="M58">
        <f t="shared" si="2"/>
        <v>0</v>
      </c>
    </row>
    <row r="59" spans="1:19" x14ac:dyDescent="0.25">
      <c r="M59">
        <f t="shared" si="2"/>
        <v>0</v>
      </c>
    </row>
    <row r="60" spans="1:19" x14ac:dyDescent="0.25">
      <c r="M60">
        <f t="shared" si="2"/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workbookViewId="0">
      <selection activeCell="C33" sqref="C33"/>
    </sheetView>
  </sheetViews>
  <sheetFormatPr defaultRowHeight="15.75" x14ac:dyDescent="0.25"/>
  <cols>
    <col min="1" max="1" width="18" customWidth="1"/>
    <col min="5" max="5" width="26.42578125" hidden="1" customWidth="1"/>
    <col min="6" max="6" width="17.140625" customWidth="1"/>
    <col min="7" max="7" width="14.140625" customWidth="1"/>
    <col min="8" max="8" width="12.85546875" customWidth="1"/>
    <col min="9" max="9" width="0" hidden="1" customWidth="1"/>
    <col min="11" max="11" width="14" customWidth="1"/>
    <col min="13" max="13" width="29.28515625" customWidth="1"/>
    <col min="15" max="15" width="16.28515625" customWidth="1"/>
    <col min="16" max="16" width="70.85546875" customWidth="1"/>
  </cols>
  <sheetData>
    <row r="1" spans="1:16" x14ac:dyDescent="0.25">
      <c r="A1" t="s">
        <v>6</v>
      </c>
      <c r="B1" t="s">
        <v>37</v>
      </c>
      <c r="C1" s="2" t="s">
        <v>36</v>
      </c>
      <c r="D1" t="s">
        <v>45</v>
      </c>
      <c r="E1" s="25" t="s">
        <v>69</v>
      </c>
      <c r="F1" s="3" t="s">
        <v>68</v>
      </c>
      <c r="G1" s="1" t="s">
        <v>51</v>
      </c>
      <c r="H1" s="3" t="s">
        <v>50</v>
      </c>
      <c r="I1" s="12" t="s">
        <v>70</v>
      </c>
      <c r="J1" t="s">
        <v>71</v>
      </c>
      <c r="K1" s="1" t="s">
        <v>72</v>
      </c>
      <c r="L1" t="s">
        <v>59</v>
      </c>
      <c r="M1" t="s">
        <v>111</v>
      </c>
      <c r="N1" t="s">
        <v>105</v>
      </c>
      <c r="O1" t="s">
        <v>106</v>
      </c>
      <c r="P1" t="s">
        <v>104</v>
      </c>
    </row>
    <row r="2" spans="1:16" x14ac:dyDescent="0.25">
      <c r="A2" t="s">
        <v>53</v>
      </c>
      <c r="B2" t="s">
        <v>44</v>
      </c>
      <c r="C2" s="2">
        <v>0</v>
      </c>
      <c r="D2" s="1">
        <v>0.84489999999999998</v>
      </c>
      <c r="E2" s="25">
        <v>40937636</v>
      </c>
      <c r="F2" s="3">
        <f t="shared" ref="F2:F5" si="0">E2/1000000</f>
        <v>40.937635999999998</v>
      </c>
      <c r="G2" s="1"/>
      <c r="H2" s="3">
        <v>156.16</v>
      </c>
      <c r="I2" s="12">
        <v>15.43</v>
      </c>
      <c r="J2">
        <f>I2*2</f>
        <v>30.86</v>
      </c>
      <c r="K2" s="1"/>
    </row>
    <row r="3" spans="1:16" x14ac:dyDescent="0.25">
      <c r="A3" t="s">
        <v>75</v>
      </c>
      <c r="B3" t="s">
        <v>44</v>
      </c>
      <c r="C3" s="2">
        <v>0.2</v>
      </c>
      <c r="D3" s="1">
        <v>0.8488</v>
      </c>
      <c r="E3" s="25">
        <v>34913200</v>
      </c>
      <c r="F3" s="3">
        <f t="shared" si="0"/>
        <v>34.913200000000003</v>
      </c>
      <c r="G3" s="1">
        <f>1-(E3/$E$2)</f>
        <v>0.14716130652976644</v>
      </c>
      <c r="H3" s="3">
        <v>133.97</v>
      </c>
      <c r="I3" s="12">
        <v>10.3</v>
      </c>
      <c r="J3">
        <f t="shared" ref="J3:J5" si="1">I3*2</f>
        <v>20.6</v>
      </c>
      <c r="K3" s="1">
        <f>1-J3/$J$2</f>
        <v>0.33246921581335054</v>
      </c>
      <c r="N3">
        <f>M3^2*100+100</f>
        <v>100</v>
      </c>
      <c r="O3" s="3">
        <f>N3/$E3</f>
        <v>2.8642461876883244E-6</v>
      </c>
      <c r="P3" t="s">
        <v>119</v>
      </c>
    </row>
    <row r="4" spans="1:16" x14ac:dyDescent="0.25">
      <c r="A4" t="s">
        <v>84</v>
      </c>
      <c r="B4" t="s">
        <v>44</v>
      </c>
      <c r="C4" s="2">
        <v>0.4</v>
      </c>
      <c r="D4" s="1">
        <v>0.86499999999999999</v>
      </c>
      <c r="E4" s="25">
        <v>30596317</v>
      </c>
      <c r="F4" s="3">
        <f t="shared" si="0"/>
        <v>30.596316999999999</v>
      </c>
      <c r="G4" s="1">
        <f t="shared" ref="G4:G5" si="2">1-(E4/$E$2)</f>
        <v>0.25261153330886033</v>
      </c>
      <c r="H4" s="3">
        <v>117.42</v>
      </c>
      <c r="I4" s="12">
        <v>5.2</v>
      </c>
      <c r="J4">
        <f t="shared" si="1"/>
        <v>10.4</v>
      </c>
      <c r="K4" s="1">
        <f t="shared" ref="K4:K5" si="3">1-J4/$J$2</f>
        <v>0.66299416720674009</v>
      </c>
      <c r="N4">
        <f t="shared" ref="N4:N5" si="4">M4^2*100+100</f>
        <v>100</v>
      </c>
      <c r="O4" s="3">
        <f t="shared" ref="O4:O5" si="5">N4/$E4</f>
        <v>3.2683672351806266E-6</v>
      </c>
      <c r="P4" t="s">
        <v>118</v>
      </c>
    </row>
    <row r="5" spans="1:16" x14ac:dyDescent="0.25">
      <c r="A5" t="s">
        <v>83</v>
      </c>
      <c r="B5" t="s">
        <v>44</v>
      </c>
      <c r="C5" s="2">
        <v>0.6</v>
      </c>
      <c r="D5" s="1">
        <v>0.81279999999999997</v>
      </c>
      <c r="E5" s="25">
        <v>27852319</v>
      </c>
      <c r="F5" s="3">
        <f t="shared" si="0"/>
        <v>27.852319000000001</v>
      </c>
      <c r="G5" s="1">
        <f t="shared" si="2"/>
        <v>0.31964026940881496</v>
      </c>
      <c r="H5" s="3">
        <v>106.32</v>
      </c>
      <c r="I5" s="12">
        <v>2.5</v>
      </c>
      <c r="J5">
        <f t="shared" si="1"/>
        <v>5</v>
      </c>
      <c r="K5" s="1">
        <f t="shared" si="3"/>
        <v>0.8379779650032404</v>
      </c>
      <c r="N5">
        <f t="shared" si="4"/>
        <v>100</v>
      </c>
      <c r="O5" s="3">
        <f t="shared" si="5"/>
        <v>3.590365312130742E-6</v>
      </c>
      <c r="P5" t="s">
        <v>120</v>
      </c>
    </row>
    <row r="10" spans="1:16" x14ac:dyDescent="0.25">
      <c r="A10" t="s">
        <v>52</v>
      </c>
      <c r="B10" t="s">
        <v>43</v>
      </c>
      <c r="C10" s="2">
        <v>0</v>
      </c>
      <c r="D10" s="1">
        <v>0.73499999999999999</v>
      </c>
      <c r="E10" s="25">
        <v>67152136</v>
      </c>
      <c r="F10" s="3">
        <f t="shared" ref="F10:F13" si="6">E10/1000000</f>
        <v>67.152135999999999</v>
      </c>
      <c r="G10" s="1"/>
      <c r="H10" s="3">
        <v>256.17</v>
      </c>
      <c r="I10" s="12">
        <v>15.46</v>
      </c>
      <c r="J10">
        <f t="shared" ref="J10:J12" si="7">I10*2</f>
        <v>30.92</v>
      </c>
      <c r="K10" s="1"/>
    </row>
    <row r="11" spans="1:16" x14ac:dyDescent="0.25">
      <c r="A11" t="s">
        <v>38</v>
      </c>
      <c r="B11" t="s">
        <v>43</v>
      </c>
      <c r="C11" s="2">
        <v>0.2</v>
      </c>
      <c r="D11" s="1">
        <v>0.74299999999999999</v>
      </c>
      <c r="E11" s="25">
        <v>51850102</v>
      </c>
      <c r="F11" s="3">
        <f t="shared" si="6"/>
        <v>51.850102</v>
      </c>
      <c r="G11" s="1">
        <f>1-E11/$E$10</f>
        <v>0.22787114322022461</v>
      </c>
      <c r="H11" s="3">
        <v>193.64</v>
      </c>
      <c r="I11" s="12">
        <v>9.94</v>
      </c>
      <c r="J11">
        <f t="shared" si="7"/>
        <v>19.88</v>
      </c>
      <c r="K11" s="9">
        <f>1-J11/$J$10</f>
        <v>0.35705045278137137</v>
      </c>
      <c r="N11">
        <f>M11^2*100+100</f>
        <v>100</v>
      </c>
      <c r="O11" s="3">
        <f>N11/$E11</f>
        <v>1.9286365145434044E-6</v>
      </c>
      <c r="P11" t="s">
        <v>133</v>
      </c>
    </row>
    <row r="12" spans="1:16" x14ac:dyDescent="0.25">
      <c r="A12" t="s">
        <v>39</v>
      </c>
      <c r="B12" t="s">
        <v>43</v>
      </c>
      <c r="C12" s="2">
        <v>0.4</v>
      </c>
      <c r="D12" s="1">
        <v>0.72350000000000003</v>
      </c>
      <c r="E12" s="25">
        <v>37304068</v>
      </c>
      <c r="F12" s="3">
        <f t="shared" si="6"/>
        <v>37.304068000000001</v>
      </c>
      <c r="G12" s="1">
        <f t="shared" ref="G12" si="8">1-E12/$E$10</f>
        <v>0.44448426778263617</v>
      </c>
      <c r="H12" s="3">
        <v>109.84</v>
      </c>
      <c r="I12" s="12">
        <v>5.3</v>
      </c>
      <c r="J12">
        <f t="shared" si="7"/>
        <v>10.6</v>
      </c>
      <c r="K12" s="9">
        <f t="shared" ref="K12" si="9">1-J12/$J$10</f>
        <v>0.65717981888745158</v>
      </c>
      <c r="N12">
        <f t="shared" ref="N12" si="10">M12^2*100+100</f>
        <v>100</v>
      </c>
      <c r="O12" s="3">
        <f>N12/$E12</f>
        <v>2.6806727888229243E-6</v>
      </c>
      <c r="P12" t="s">
        <v>134</v>
      </c>
    </row>
    <row r="13" spans="1:16" x14ac:dyDescent="0.25">
      <c r="A13" t="s">
        <v>40</v>
      </c>
      <c r="B13" t="s">
        <v>43</v>
      </c>
      <c r="C13" s="2">
        <v>0.6</v>
      </c>
      <c r="D13" t="s">
        <v>135</v>
      </c>
      <c r="E13" s="25"/>
      <c r="F13" s="3">
        <f t="shared" si="6"/>
        <v>0</v>
      </c>
      <c r="G13" s="1"/>
      <c r="H13" s="3">
        <v>58.4</v>
      </c>
      <c r="I13" s="12"/>
      <c r="K13" s="9"/>
      <c r="O13" s="3"/>
    </row>
    <row r="14" spans="1:16" x14ac:dyDescent="0.25">
      <c r="C14" s="2"/>
      <c r="E14" s="25"/>
      <c r="F14" s="3"/>
      <c r="G14" s="1"/>
      <c r="H14" s="3"/>
      <c r="I14" s="12"/>
      <c r="K14" s="9"/>
      <c r="O14" s="3"/>
    </row>
    <row r="17" spans="1:16" x14ac:dyDescent="0.25">
      <c r="A17" t="s">
        <v>128</v>
      </c>
      <c r="B17" t="s">
        <v>42</v>
      </c>
      <c r="C17" s="2">
        <v>0</v>
      </c>
      <c r="D17" s="1">
        <v>0.874145006839945</v>
      </c>
      <c r="E17" s="25">
        <v>66103556</v>
      </c>
      <c r="F17" s="3">
        <f>E17/1000000</f>
        <v>66.103555999999998</v>
      </c>
      <c r="G17" s="1"/>
      <c r="H17" s="3">
        <v>256.17</v>
      </c>
      <c r="I17" s="12">
        <v>15.46</v>
      </c>
      <c r="J17">
        <f>I17*2</f>
        <v>30.92</v>
      </c>
      <c r="K17" s="1"/>
    </row>
    <row r="18" spans="1:16" x14ac:dyDescent="0.25">
      <c r="A18" t="s">
        <v>129</v>
      </c>
      <c r="B18" t="s">
        <v>42</v>
      </c>
      <c r="C18" s="2">
        <v>0.2</v>
      </c>
      <c r="D18" s="1">
        <v>0.87390000000000001</v>
      </c>
      <c r="E18" s="25">
        <v>53109779</v>
      </c>
      <c r="F18" s="3">
        <f>E18/1000000</f>
        <v>53.109779000000003</v>
      </c>
      <c r="G18" s="1">
        <f>1-E18/$E$17</f>
        <v>0.19656698952776464</v>
      </c>
      <c r="H18" s="3"/>
      <c r="I18" s="12">
        <v>9.5500000000000007</v>
      </c>
      <c r="J18">
        <f>I18*2</f>
        <v>19.100000000000001</v>
      </c>
      <c r="K18" s="9">
        <f>1-J18/$J$17</f>
        <v>0.38227684346701163</v>
      </c>
      <c r="N18">
        <f>M18^2*100+100</f>
        <v>100</v>
      </c>
      <c r="O18" s="3">
        <f>N18/$E18</f>
        <v>1.8828924142199876E-6</v>
      </c>
      <c r="P18" t="s">
        <v>121</v>
      </c>
    </row>
    <row r="19" spans="1:16" x14ac:dyDescent="0.25">
      <c r="A19" t="s">
        <v>130</v>
      </c>
      <c r="B19" t="s">
        <v>42</v>
      </c>
      <c r="C19" s="2">
        <v>0.4</v>
      </c>
      <c r="D19" s="1">
        <v>0.87329999999999997</v>
      </c>
      <c r="E19" s="25">
        <v>29655049</v>
      </c>
      <c r="F19" s="3">
        <f>E19/1000000</f>
        <v>29.655049000000002</v>
      </c>
      <c r="G19" s="1">
        <f t="shared" ref="G19" si="11">1-E19/$E$17</f>
        <v>0.55138496633978362</v>
      </c>
      <c r="H19" s="3"/>
      <c r="I19" s="12">
        <v>5.36</v>
      </c>
      <c r="J19">
        <f>I19*2</f>
        <v>10.72</v>
      </c>
      <c r="K19" s="9">
        <f>1-J19/$J$17</f>
        <v>0.65329883570504532</v>
      </c>
      <c r="N19">
        <f t="shared" ref="N19" si="12">M19^2*100+100</f>
        <v>100</v>
      </c>
      <c r="O19" s="3">
        <f>N19/$E19</f>
        <v>3.3721070567106463E-6</v>
      </c>
      <c r="P19" t="s">
        <v>122</v>
      </c>
    </row>
    <row r="20" spans="1:16" x14ac:dyDescent="0.25">
      <c r="A20" t="s">
        <v>131</v>
      </c>
      <c r="B20" t="s">
        <v>42</v>
      </c>
      <c r="C20" s="2">
        <v>0.6</v>
      </c>
      <c r="D20" s="1" t="s">
        <v>132</v>
      </c>
      <c r="E20" s="25"/>
      <c r="F20" s="3"/>
      <c r="G20" s="1"/>
      <c r="H20" s="3"/>
      <c r="I20" s="12"/>
      <c r="K20" s="9"/>
      <c r="O20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Train</vt:lpstr>
      <vt:lpstr>Pruned</vt:lpstr>
      <vt:lpstr>Soft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2020-06-20T18:44:45Z</dcterms:modified>
</cp:coreProperties>
</file>